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Ventas" sheetId="3" state="visible" r:id="rId5"/>
    <sheet name="Inventario" sheetId="4" state="visible" r:id="rId6"/>
    <sheet name="Mermas" sheetId="5" state="visible" r:id="rId7"/>
    <sheet name="Prec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<sst xmlns="http://schemas.openxmlformats.org/spreadsheetml/2006/main" count="169" uniqueCount="115">
  <si>
    <t xml:space="preserve">Control de Feria - Craquelen</t>
  </si>
  <si>
    <t xml:space="preserve">Planilla de inventario, ventas y cierre de caja para 1 dia de feria</t>
  </si>
  <si>
    <t xml:space="preserve">ANTES DE LA FERIA</t>
  </si>
  <si>
    <t xml:space="preserve">1.</t>
  </si>
  <si>
    <t xml:space="preserve">En la hoja 'Inventario', completa la columna 'Inventario Inicial' con la cantidad de cada producto que llevas.</t>
  </si>
  <si>
    <t xml:space="preserve">2.</t>
  </si>
  <si>
    <t xml:space="preserve">En la hoja 'Resumen', completa 'Dinero inicial en caja (cambio)' con la plata con la que arrancas.</t>
  </si>
  <si>
    <t xml:space="preserve">3.</t>
  </si>
  <si>
    <t xml:space="preserve">Revisa la hoja 'Precios' - ahi estan cargados los productos y precios. Si cambia un precio, editalo ahi (se actualiza en toda la planilla).</t>
  </si>
  <si>
    <t xml:space="preserve">DURANTE LA FERIA - CADA PRODUCTO VENDIDO ES UNA FILA</t>
  </si>
  <si>
    <t xml:space="preserve">4.</t>
  </si>
  <si>
    <t xml:space="preserve">Anda a la hoja 'Ventas'. En la primera fila libre: elegi el Producto (lista desplegable) y el Medio de Pago (Efectivo / Transferencia). La Cantidad ya viene en 1 - cambiala si vendiste mas de 1 unidad igual junta.</t>
  </si>
  <si>
    <t xml:space="preserve">5.</t>
  </si>
  <si>
    <t xml:space="preserve">El precio y el subtotal se completan solos.</t>
  </si>
  <si>
    <t xml:space="preserve">COLUMNA 'N° Venta / Cliente' (columna azul, se completa siempre a mano)</t>
  </si>
  <si>
    <t xml:space="preserve">6.</t>
  </si>
  <si>
    <t xml:space="preserve">En cada fila, ponele un numero de cliente (1, 2, 3...). Si un mismo cliente compra varios productos distintos (por ejemplo 2 cookies y 1 merengada), anota cada producto en su propia fila y repeti el MISMO numero de cliente en todas esas filas.</t>
  </si>
  <si>
    <t xml:space="preserve">7.</t>
  </si>
  <si>
    <t xml:space="preserve">Asi la planilla puede contarte cuantos clientes distintos compraron (no solo cuantos productos se vendieron) y podes filtrar/ordenar la hoja Ventas por esa columna para ver que compro cada cliente.</t>
  </si>
  <si>
    <t xml:space="preserve">SOLO PARA 'Promo cookies 3x' Y 'Combo picnic'</t>
  </si>
  <si>
    <t xml:space="preserve">8.</t>
  </si>
  <si>
    <t xml:space="preserve">En esa MISMA fila, completa las columnas 'Producto entregado 1 / 2 / 3' con lo que diste de verdad:</t>
  </si>
  <si>
    <t xml:space="preserve">  - Promo cookies 3x: los 3 sabores de cookie a eleccion (cualquiera de las 8, ya no hay cookies 'clasicas' restringidas).</t>
  </si>
  <si>
    <t xml:space="preserve">  - Combo picnic: columnas 1 y 2 = los 2 sabores de cookie elegidos (cualquier sabor). Columna 3 = el acompañamiento a eleccion (Bolsita de sconcitos / Shortbread / Pepas de membrillo).</t>
  </si>
  <si>
    <t xml:space="preserve">9.</t>
  </si>
  <si>
    <t xml:space="preserve">'Merengada x2' y 'Chipa x2' no necesitan nada mas - se descuentan solas del inventario (2 unidades cada una).</t>
  </si>
  <si>
    <t xml:space="preserve">IMPORTANTE: los precios ahora dependen del medio de pago. La columna 'Medio de Pago' (F) determina automaticamente si se usa el Precio Efectivo o el Precio Transferencia de la hoja Precios.</t>
  </si>
  <si>
    <t xml:space="preserve">10.</t>
  </si>
  <si>
    <t xml:space="preserve">Cargalas en la hoja 'Mermas': producto, cantidad y motivo (Rotura / Perdida / Vencido-Dañado / Degustacion / Otro). Se descuentan solas del inventario.</t>
  </si>
  <si>
    <t xml:space="preserve">AL CERRAR LA FERIA</t>
  </si>
  <si>
    <t xml:space="preserve">11.</t>
  </si>
  <si>
    <t xml:space="preserve">Conta la plata en efectivo y cargala en 'Resumen' -&gt; 'Efectivo contado al cierre'. La Diferencia se calcula sola (deberia dar $0).</t>
  </si>
  <si>
    <t xml:space="preserve">12.</t>
  </si>
  <si>
    <t xml:space="preserve">Conta lo que sobro de cada producto y cargalo en 'Inventario' -&gt; 'Conteo fisico final'. La Diferencia te avisa si algo no cierra.</t>
  </si>
  <si>
    <t xml:space="preserve">REFERENCIA DE COLORES</t>
  </si>
  <si>
    <t xml:space="preserve">Celdas amarillas = las completas vos a mano. Todo lo demas se calcula solo - no lo edites para no romper las formulas.</t>
  </si>
  <si>
    <t xml:space="preserve">Ejemplo de celda para completar a mano:</t>
  </si>
  <si>
    <t xml:space="preserve">Cierre de Caja — Feria</t>
  </si>
  <si>
    <t xml:space="preserve">Fecha:</t>
  </si>
  <si>
    <t xml:space="preserve">Feria / Evento:</t>
  </si>
  <si>
    <t xml:space="preserve">Craquelen</t>
  </si>
  <si>
    <t xml:space="preserve">DINERO Y VENTAS</t>
  </si>
  <si>
    <t xml:space="preserve">Dinero inicial en caja (cambio)</t>
  </si>
  <si>
    <t xml:space="preserve">Total ventas en Efectivo</t>
  </si>
  <si>
    <t xml:space="preserve">Total ventas por Transferencia</t>
  </si>
  <si>
    <t xml:space="preserve">Total general vendido</t>
  </si>
  <si>
    <t xml:space="preserve">Cantidad de clientes / ventas</t>
  </si>
  <si>
    <t xml:space="preserve">Ticket promedio por cliente</t>
  </si>
  <si>
    <t xml:space="preserve">CUADRE DE CAJA (EFECTIVO)</t>
  </si>
  <si>
    <t xml:space="preserve">Efectivo esperado en caja</t>
  </si>
  <si>
    <t xml:space="preserve">Efectivo contado al cierre</t>
  </si>
  <si>
    <t xml:space="preserve">Diferencia de caja</t>
  </si>
  <si>
    <t xml:space="preserve">UNIDADES</t>
  </si>
  <si>
    <t xml:space="preserve">Total unidades vendidas (lineas de venta)</t>
  </si>
  <si>
    <t xml:space="preserve">Total unidades en mermas/roturas/degustaciones</t>
  </si>
  <si>
    <t xml:space="preserve">PROMOCIONES VENDIDAS (unidades)</t>
  </si>
  <si>
    <t xml:space="preserve">Promo cookies 3x</t>
  </si>
  <si>
    <t xml:space="preserve">Chipa x2</t>
  </si>
  <si>
    <t xml:space="preserve">Merengada x2</t>
  </si>
  <si>
    <t xml:space="preserve">Combo picnic</t>
  </si>
  <si>
    <t xml:space="preserve">Las celdas amarillas se completan a mano. El resto se calcula solo a partir de las hojas Ventas, Mermas e Inventario.</t>
  </si>
  <si>
    <t xml:space="preserve">N°</t>
  </si>
  <si>
    <t xml:space="preserve">Hora (opcional)</t>
  </si>
  <si>
    <t xml:space="preserve">N° Venta / Cliente</t>
  </si>
  <si>
    <t xml:space="preserve">Producto</t>
  </si>
  <si>
    <t xml:space="preserve">Cantidad</t>
  </si>
  <si>
    <t xml:space="preserve">Medio de Pago</t>
  </si>
  <si>
    <t xml:space="preserve">Producto entregado 1
(solo promos c/eleccion)</t>
  </si>
  <si>
    <t xml:space="preserve">Producto entregado 2
(solo promos c/eleccion)</t>
  </si>
  <si>
    <t xml:space="preserve">Producto entregado 3
(solo promos c/eleccion)</t>
  </si>
  <si>
    <t xml:space="preserve">Precio Unitario</t>
  </si>
  <si>
    <t xml:space="preserve">Subtotal</t>
  </si>
  <si>
    <t xml:space="preserve">Cookie red velvet</t>
  </si>
  <si>
    <t xml:space="preserve">Efectivo</t>
  </si>
  <si>
    <t xml:space="preserve">Inventario Inicial</t>
  </si>
  <si>
    <t xml:space="preserve">Vendido (unid.)</t>
  </si>
  <si>
    <t xml:space="preserve">Mermas/Roturas</t>
  </si>
  <si>
    <t xml:space="preserve">Inventario Teorico Final</t>
  </si>
  <si>
    <t xml:space="preserve">Conteo Fisico Final</t>
  </si>
  <si>
    <t xml:space="preserve">Diferencia</t>
  </si>
  <si>
    <t xml:space="preserve">Cookie choco y sal</t>
  </si>
  <si>
    <t xml:space="preserve">Cookie oreo y nutella</t>
  </si>
  <si>
    <t xml:space="preserve">Cookie choco y nuez</t>
  </si>
  <si>
    <t xml:space="preserve">Cookie almendras y caramelo</t>
  </si>
  <si>
    <t xml:space="preserve">Cookie pistacho</t>
  </si>
  <si>
    <t xml:space="preserve">Cookie frambuesa</t>
  </si>
  <si>
    <t xml:space="preserve">Cookie marroc</t>
  </si>
  <si>
    <t xml:space="preserve">Budin</t>
  </si>
  <si>
    <t xml:space="preserve">Cuadrados</t>
  </si>
  <si>
    <t xml:space="preserve">Frolla</t>
  </si>
  <si>
    <t xml:space="preserve">Coco y dulce de leche</t>
  </si>
  <si>
    <t xml:space="preserve">Alfajor</t>
  </si>
  <si>
    <t xml:space="preserve">Torta</t>
  </si>
  <si>
    <t xml:space="preserve">Bolsita de sconcitos</t>
  </si>
  <si>
    <t xml:space="preserve">Shortbread</t>
  </si>
  <si>
    <t xml:space="preserve">Pepas de membrillo</t>
  </si>
  <si>
    <t xml:space="preserve">Scon relleno</t>
  </si>
  <si>
    <t xml:space="preserve">Chipa</t>
  </si>
  <si>
    <t xml:space="preserve">Merengada</t>
  </si>
  <si>
    <t xml:space="preserve">TOTAL</t>
  </si>
  <si>
    <t xml:space="preserve">Inventario Inicial y Conteo Fisico Final se completan a mano (celdas amarillas). El resto se calcula solo, incluyendo lo consumido por promociones.</t>
  </si>
  <si>
    <t xml:space="preserve">Motivo</t>
  </si>
  <si>
    <t xml:space="preserve">Observaciones</t>
  </si>
  <si>
    <t xml:space="preserve">Rotura</t>
  </si>
  <si>
    <t xml:space="preserve">Tipo</t>
  </si>
  <si>
    <t xml:space="preserve">Precio Efectivo</t>
  </si>
  <si>
    <t xml:space="preserve">Precio Transferencia</t>
  </si>
  <si>
    <t xml:space="preserve">Notas</t>
  </si>
  <si>
    <t xml:space="preserve">Base</t>
  </si>
  <si>
    <t xml:space="preserve">Promo</t>
  </si>
  <si>
    <t xml:space="preserve">En la fila de venta, completa 'Producto entregado 1, 2 y 3' con los 3 sabores de cookie que diste (cualquiera de las 8, ya no hay restriccion de sabores clasicos).</t>
  </si>
  <si>
    <t xml:space="preserve">Se descuenta solo (2x Chipa). No hace falta anotar nada mas en Ventas.</t>
  </si>
  <si>
    <t xml:space="preserve">Se descuenta solo (2x Merengada). No hace falta anotar nada mas en Ventas.</t>
  </si>
  <si>
    <t xml:space="preserve">La Merengada (x2) se descuenta sola. En la fila de venta completa 'Producto entregado 1 y 2' con los 2 sabores de cookie elegidos (cualquier sabor), y 'Producto entregado 3' con el acompanamiento (Bolsita de sconcitos / Shortbread / Pepas de membrillo).</t>
  </si>
  <si>
    <t xml:space="preserve">Precios en pesos argentinos (ARS). Las celdas amarillas se editan a mano; el resto de la planilla las usa automaticamente.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</si>
</sst>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$ &quot;#,##0"/>
    <numFmt numFmtId="166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23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b val="true"/>
      <sz val="11"/>
      <name val="Arial"/>
      <family val="0"/>
      <charset val="1"/>
    </font>
    <font>
      <sz val="10.5"/>
      <name val="Arial"/>
      <family val="0"/>
      <charset val="1"/>
    </font>
    <font>
      <i val="true"/>
      <sz val="10.5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5623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E"/>
        <bgColor rgb="FFFFF2CC"/>
      </patternFill>
    </fill>
    <fill>
      <patternFill patternType="solid">
        <fgColor rgb="FF2F5233"/>
        <bgColor rgb="FF375623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E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15" hidden="false" customHeight="true" outlineLevel="0" collapsed="false">
      <c r="B6" s="4" t="s">
        <v>2</v>
      </c>
    </row>
    <row r="7" customFormat="false" ht="31.5" hidden="false" customHeight="true" outlineLevel="0" collapsed="false">
      <c r="A7" s="5" t="s">
        <v>3</v>
      </c>
      <c r="B7" s="6" t="s">
        <v>4</v>
      </c>
    </row>
    <row r="8" customFormat="false" ht="31.5" hidden="false" customHeight="true" outlineLevel="0" collapsed="false">
      <c r="A8" s="5" t="s">
        <v>5</v>
      </c>
      <c r="B8" s="6" t="s">
        <v>6</v>
      </c>
    </row>
    <row r="9" customFormat="false" ht="31.5" hidden="false" customHeight="true" outlineLevel="0" collapsed="false">
      <c r="A9" s="5" t="s">
        <v>7</v>
      </c>
      <c r="B9" s="6" t="s">
        <v>8</v>
      </c>
    </row>
    <row r="11" customFormat="false" ht="15" hidden="false" customHeight="true" outlineLevel="0" collapsed="false">
      <c r="B11" s="4" t="s">
        <v>9</v>
      </c>
    </row>
    <row r="12" customFormat="false" ht="31.5" hidden="false" customHeight="true" outlineLevel="0" collapsed="false">
      <c r="A12" s="5" t="s">
        <v>10</v>
      </c>
      <c r="B12" s="6" t="s">
        <v>11</v>
      </c>
    </row>
    <row r="13" customFormat="false" ht="31.5" hidden="false" customHeight="true" outlineLevel="0" collapsed="false">
      <c r="A13" s="5" t="s">
        <v>12</v>
      </c>
      <c r="B13" s="6" t="s">
        <v>13</v>
      </c>
    </row>
    <row r="15" customFormat="false" ht="15" hidden="false" customHeight="true" outlineLevel="0" collapsed="false">
      <c r="B15" s="4" t="s">
        <v>14</v>
      </c>
    </row>
    <row r="16" customFormat="false" ht="31.5" hidden="false" customHeight="true" outlineLevel="0" collapsed="false">
      <c r="A16" s="5" t="s">
        <v>15</v>
      </c>
      <c r="B16" s="6" t="s">
        <v>16</v>
      </c>
    </row>
    <row r="17" customFormat="false" ht="31.5" hidden="false" customHeight="true" outlineLevel="0" collapsed="false">
      <c r="A17" s="5" t="s">
        <v>17</v>
      </c>
      <c r="B17" s="6" t="s">
        <v>18</v>
      </c>
    </row>
    <row r="19" customFormat="false" ht="15" hidden="false" customHeight="true" outlineLevel="0" collapsed="false">
      <c r="B19" s="4" t="s">
        <v>19</v>
      </c>
    </row>
    <row r="20" customFormat="false" ht="31.5" hidden="false" customHeight="true" outlineLevel="0" collapsed="false">
      <c r="A20" s="5" t="s">
        <v>20</v>
      </c>
      <c r="B20" s="6" t="s">
        <v>21</v>
      </c>
    </row>
    <row r="21" customFormat="false" ht="25.5" hidden="false" customHeight="true" outlineLevel="0" collapsed="false">
      <c r="B21" s="7" t="s">
        <v>22</v>
      </c>
    </row>
    <row r="22" customFormat="false" ht="25.5" hidden="false" customHeight="true" outlineLevel="0" collapsed="false">
      <c r="B22" s="7" t="s">
        <v>23</v>
      </c>
    </row>
    <row r="23" customFormat="false" ht="31.5" hidden="false" customHeight="true" outlineLevel="0" collapsed="false">
      <c r="A23" s="5" t="s">
        <v>24</v>
      </c>
      <c r="B23" s="6" t="s">
        <v>25</v>
      </c>
    </row>
    <row r="25" customFormat="false" ht="15" hidden="false" customHeight="true" outlineLevel="0" collapsed="false">
      <c r="B25" s="4" t="s">
        <v>26</v>
      </c>
    </row>
    <row r="26" customFormat="false" ht="31.5" hidden="false" customHeight="true" outlineLevel="0" collapsed="false">
      <c r="A26" s="5" t="s">
        <v>27</v>
      </c>
      <c r="B26" s="6" t="s">
        <v>28</v>
      </c>
    </row>
    <row r="28" customFormat="false" ht="15" hidden="false" customHeight="true" outlineLevel="0" collapsed="false">
      <c r="B28" s="4" t="s">
        <v>29</v>
      </c>
    </row>
    <row r="29" customFormat="false" ht="31.5" hidden="false" customHeight="true" outlineLevel="0" collapsed="false">
      <c r="A29" s="5" t="s">
        <v>30</v>
      </c>
      <c r="B29" s="6" t="s">
        <v>31</v>
      </c>
    </row>
    <row r="30" customFormat="false" ht="31.5" hidden="false" customHeight="true" outlineLevel="0" collapsed="false">
      <c r="A30" s="5" t="s">
        <v>32</v>
      </c>
      <c r="B30" s="6" t="s">
        <v>33</v>
      </c>
    </row>
    <row r="32" customFormat="false" ht="15" hidden="false" customHeight="true" outlineLevel="0" collapsed="false">
      <c r="B32" s="4" t="s">
        <v>34</v>
      </c>
    </row>
    <row r="33" customFormat="false" ht="25.5" hidden="false" customHeight="true" outlineLevel="0" collapsed="false">
      <c r="B33" s="7" t="s">
        <v>35</v>
      </c>
    </row>
    <row r="35" customFormat="false" ht="15" hidden="false" customHeight="true" outlineLevel="0" collapsed="false">
      <c r="B35" s="8" t="s">
        <v>36</v>
      </c>
    </row>
    <row r="36" customFormat="false" ht="15" hidden="false" customHeight="true" outlineLevel="0" collapsed="false">
      <c r="B36" s="9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"/>
    <col collapsed="false" customWidth="true" hidden="false" outlineLevel="0" max="4" min="4" style="1" width="30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10" t="s">
        <v>37</v>
      </c>
      <c r="B1" s="10"/>
    </row>
    <row r="2" customFormat="false" ht="15" hidden="false" customHeight="true" outlineLevel="0" collapsed="false">
      <c r="A2" s="5" t="s">
        <v>38</v>
      </c>
      <c r="B2" s="11"/>
    </row>
    <row r="3" customFormat="false" ht="15" hidden="false" customHeight="true" outlineLevel="0" collapsed="false">
      <c r="A3" s="5" t="s">
        <v>39</v>
      </c>
      <c r="B3" s="11" t="s">
        <v>40</v>
      </c>
    </row>
    <row r="5" customFormat="false" ht="15" hidden="false" customHeight="true" outlineLevel="0" collapsed="false">
      <c r="A5" s="4" t="s">
        <v>41</v>
      </c>
    </row>
    <row r="6" customFormat="false" ht="15" hidden="false" customHeight="true" outlineLevel="0" collapsed="false">
      <c r="A6" s="5" t="s">
        <v>42</v>
      </c>
      <c r="B6" s="9" t="n">
        <v>0</v>
      </c>
    </row>
    <row r="7" customFormat="false" ht="15" hidden="false" customHeight="true" outlineLevel="0" collapsed="false">
      <c r="A7" s="5" t="s">
        <v>43</v>
      </c>
      <c r="B7" s="12" t="n">
        <f aca="false">SUMIFS(Ventas!$K$2:$K$301,Ventas!$F$2:$F$301,"Efectivo")</f>
        <v>6000</v>
      </c>
    </row>
    <row r="8" customFormat="false" ht="15" hidden="false" customHeight="true" outlineLevel="0" collapsed="false">
      <c r="A8" s="5" t="s">
        <v>44</v>
      </c>
      <c r="B8" s="12" t="n">
        <f aca="false">SUMIFS(Ventas!$K$2:$K$301,Ventas!$F$2:$F$301,"Transferencia")</f>
        <v>0</v>
      </c>
    </row>
    <row r="9" customFormat="false" ht="15" hidden="false" customHeight="true" outlineLevel="0" collapsed="false">
      <c r="A9" s="5" t="s">
        <v>45</v>
      </c>
      <c r="B9" s="13" t="n">
        <f aca="false">B7+B8</f>
        <v>6000</v>
      </c>
    </row>
    <row r="10" customFormat="false" ht="15" hidden="false" customHeight="true" outlineLevel="0" collapsed="false">
      <c r="A10" s="5" t="s">
        <v>46</v>
      </c>
      <c r="B10" s="14" t="n">
        <f aca="false">IFERROR(SUMPRODUCT((Ventas!$D$2:$D$301&lt;&gt;"")/IF(COUNTIFS(Ventas!$C$2:$C$301,Ventas!$C$2:$C$301,Ventas!$D$2:$D$301,"&lt;&gt;")=0,1,COUNTIFS(Ventas!$C$2:$C$301,Ventas!$C$2:$C$301,Ventas!$D$2:$D$301,"&lt;&gt;"))),0)</f>
        <v>1</v>
      </c>
    </row>
    <row r="11" customFormat="false" ht="15" hidden="false" customHeight="true" outlineLevel="0" collapsed="false">
      <c r="A11" s="5" t="s">
        <v>47</v>
      </c>
      <c r="B11" s="12" t="n">
        <f aca="false">IFERROR(B9/B10,0)</f>
        <v>6000</v>
      </c>
    </row>
    <row r="13" customFormat="false" ht="15" hidden="false" customHeight="true" outlineLevel="0" collapsed="false">
      <c r="A13" s="4" t="s">
        <v>48</v>
      </c>
    </row>
    <row r="14" customFormat="false" ht="15" hidden="false" customHeight="true" outlineLevel="0" collapsed="false">
      <c r="A14" s="5" t="s">
        <v>49</v>
      </c>
      <c r="B14" s="12" t="n">
        <f aca="false">B6+B7</f>
        <v>6000</v>
      </c>
    </row>
    <row r="15" customFormat="false" ht="15" hidden="false" customHeight="true" outlineLevel="0" collapsed="false">
      <c r="A15" s="5" t="s">
        <v>50</v>
      </c>
      <c r="B15" s="9"/>
    </row>
    <row r="16" customFormat="false" ht="15" hidden="false" customHeight="true" outlineLevel="0" collapsed="false">
      <c r="A16" s="5" t="s">
        <v>51</v>
      </c>
      <c r="B16" s="13" t="str">
        <f aca="false">IF(B15="","",B15-B14)</f>
        <v/>
      </c>
    </row>
    <row r="18" customFormat="false" ht="15" hidden="false" customHeight="true" outlineLevel="0" collapsed="false">
      <c r="A18" s="4" t="s">
        <v>52</v>
      </c>
    </row>
    <row r="19" customFormat="false" ht="15" hidden="false" customHeight="true" outlineLevel="0" collapsed="false">
      <c r="A19" s="5" t="s">
        <v>53</v>
      </c>
      <c r="B19" s="14" t="n">
        <f aca="false">SUMIFS(Ventas!$E$2:$E$301,Ventas!$D$2:$D$301,"&lt;&gt;")</f>
        <v>1</v>
      </c>
    </row>
    <row r="20" customFormat="false" ht="15" hidden="false" customHeight="true" outlineLevel="0" collapsed="false">
      <c r="A20" s="5" t="s">
        <v>54</v>
      </c>
      <c r="B20" s="14" t="n">
        <f aca="false">SUMIF(Mermas!$C$2:$C$101,"&lt;&gt;",Mermas!$D$2:$D$101)</f>
        <v>1</v>
      </c>
    </row>
    <row r="21" customFormat="false" ht="15" hidden="false" customHeight="true" outlineLevel="0" collapsed="false">
      <c r="A21" s="15"/>
      <c r="B21" s="15"/>
    </row>
    <row r="22" customFormat="false" ht="15" hidden="false" customHeight="true" outlineLevel="0" collapsed="false">
      <c r="A22" s="16" t="s">
        <v>55</v>
      </c>
      <c r="B22" s="15"/>
    </row>
    <row r="23" customFormat="false" ht="15" hidden="false" customHeight="true" outlineLevel="0" collapsed="false">
      <c r="A23" s="17" t="s">
        <v>56</v>
      </c>
      <c r="B23" s="18" t="n">
        <f aca="false">SUMIFS(Ventas!$E$2:$E$301,Ventas!$D$2:$D$301,"Promo cookies 3x")</f>
        <v>0</v>
      </c>
    </row>
    <row r="24" customFormat="false" ht="15" hidden="false" customHeight="true" outlineLevel="0" collapsed="false">
      <c r="A24" s="17" t="s">
        <v>57</v>
      </c>
      <c r="B24" s="18" t="n">
        <f aca="false">SUMIFS(Ventas!$E$2:$E$301,Ventas!$D$2:$D$301,"Chipa x2")</f>
        <v>0</v>
      </c>
    </row>
    <row r="25" customFormat="false" ht="15" hidden="false" customHeight="true" outlineLevel="0" collapsed="false">
      <c r="A25" s="17" t="s">
        <v>58</v>
      </c>
      <c r="B25" s="18" t="n">
        <f aca="false">SUMIFS(Ventas!$E$2:$E$301,Ventas!$D$2:$D$301,"Merengada x2")</f>
        <v>0</v>
      </c>
    </row>
    <row r="26" customFormat="false" ht="15" hidden="false" customHeight="true" outlineLevel="0" collapsed="false">
      <c r="A26" s="17" t="s">
        <v>59</v>
      </c>
      <c r="B26" s="18" t="n">
        <f aca="false">SUMIFS(Ventas!$E$2:$E$301,Ventas!$D$2:$D$301,"Combo picnic")</f>
        <v>0</v>
      </c>
    </row>
    <row r="27" customFormat="false" ht="15" hidden="false" customHeight="true" outlineLevel="0" collapsed="false">
      <c r="A27" s="15"/>
      <c r="B27" s="15"/>
    </row>
    <row r="28" customFormat="false" ht="15" hidden="false" customHeight="true" outlineLevel="0" collapsed="false">
      <c r="A28" s="19" t="s">
        <v>60</v>
      </c>
      <c r="B28" s="19"/>
    </row>
    <row r="29" customFormat="false" ht="15" hidden="false" customHeight="true" outlineLevel="0" collapsed="false">
      <c r="A29" s="15"/>
      <c r="B29" s="15"/>
    </row>
  </sheetData>
  <mergeCells count="2">
    <mergeCell ref="A1:B1"/>
    <mergeCell ref="A28:B28"/>
  </mergeCells>
  <conditionalFormatting sqref="B16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9" min="7" style="1" width="24"/>
    <col collapsed="false" customWidth="true" hidden="false" outlineLevel="0" max="11" min="10" style="1" width="14"/>
  </cols>
  <sheetData>
    <row r="1" customFormat="false" ht="43.5" hidden="false" customHeight="true" outlineLevel="0" collapsed="false">
      <c r="A1" s="20" t="s">
        <v>61</v>
      </c>
      <c r="B1" s="20" t="s">
        <v>62</v>
      </c>
      <c r="C1" s="20" t="s">
        <v>63</v>
      </c>
      <c r="D1" s="20" t="s">
        <v>64</v>
      </c>
      <c r="E1" s="20" t="s">
        <v>65</v>
      </c>
      <c r="F1" s="20" t="s">
        <v>66</v>
      </c>
      <c r="G1" s="20" t="s">
        <v>67</v>
      </c>
      <c r="H1" s="20" t="s">
        <v>68</v>
      </c>
      <c r="I1" s="20" t="s">
        <v>69</v>
      </c>
      <c r="J1" s="20" t="s">
        <v>70</v>
      </c>
      <c r="K1" s="20" t="s">
        <v>71</v>
      </c>
    </row>
    <row r="2" customFormat="false" ht="15" hidden="false" customHeight="true" outlineLevel="0" collapsed="false">
      <c r="A2" s="21" t="n">
        <f aca="false">IF($D2="","",ROW()-1)</f>
        <v>1</v>
      </c>
      <c r="B2" s="17"/>
      <c r="C2" s="22" t="n">
        <v>1</v>
      </c>
      <c r="D2" s="23" t="s">
        <v>72</v>
      </c>
      <c r="E2" s="24" t="n">
        <v>1</v>
      </c>
      <c r="F2" s="23" t="s">
        <v>73</v>
      </c>
      <c r="G2" s="23"/>
      <c r="H2" s="23"/>
      <c r="I2" s="23"/>
      <c r="J2" s="25" t="n">
        <f aca="false">IFERROR(INDEX(Precios!$C$2:$D$25,MATCH($D2,Precios!$A$2:$A$25,0),IF($F2="Transferencia",2,1)),0)</f>
        <v>6000</v>
      </c>
      <c r="K2" s="25" t="n">
        <f aca="false">E2*J2</f>
        <v>6000</v>
      </c>
    </row>
    <row r="3" customFormat="false" ht="15" hidden="false" customHeight="true" outlineLevel="0" collapsed="false">
      <c r="A3" s="21" t="str">
        <f aca="false">IF($D3="","",ROW()-1)</f>
        <v/>
      </c>
      <c r="B3" s="17"/>
      <c r="C3" s="22"/>
      <c r="D3" s="23"/>
      <c r="E3" s="24" t="n">
        <v>1</v>
      </c>
      <c r="F3" s="23"/>
      <c r="G3" s="23"/>
      <c r="H3" s="23"/>
      <c r="I3" s="23"/>
      <c r="J3" s="25" t="n">
        <f aca="false">IFERROR(INDEX(Precios!$C$2:$D$25,MATCH($D3,Precios!$A$2:$A$25,0),IF($F3="Transferencia",2,1)),0)</f>
        <v>0</v>
      </c>
      <c r="K3" s="25" t="n">
        <f aca="false">E3*J3</f>
        <v>0</v>
      </c>
    </row>
    <row r="4" customFormat="false" ht="15" hidden="false" customHeight="true" outlineLevel="0" collapsed="false">
      <c r="A4" s="21" t="str">
        <f aca="false">IF($D4="","",ROW()-1)</f>
        <v/>
      </c>
      <c r="B4" s="17"/>
      <c r="C4" s="22"/>
      <c r="D4" s="23"/>
      <c r="E4" s="24" t="n">
        <v>1</v>
      </c>
      <c r="F4" s="23"/>
      <c r="G4" s="23"/>
      <c r="H4" s="23"/>
      <c r="I4" s="23"/>
      <c r="J4" s="25" t="n">
        <f aca="false">IFERROR(INDEX(Precios!$C$2:$D$25,MATCH($D4,Precios!$A$2:$A$25,0),IF($F4="Transferencia",2,1)),0)</f>
        <v>0</v>
      </c>
      <c r="K4" s="25" t="n">
        <f aca="false">E4*J4</f>
        <v>0</v>
      </c>
    </row>
    <row r="5" customFormat="false" ht="15" hidden="false" customHeight="true" outlineLevel="0" collapsed="false">
      <c r="A5" s="21" t="str">
        <f aca="false">IF($D5="","",ROW()-1)</f>
        <v/>
      </c>
      <c r="B5" s="17"/>
      <c r="C5" s="22"/>
      <c r="D5" s="23"/>
      <c r="E5" s="24" t="n">
        <v>1</v>
      </c>
      <c r="F5" s="23"/>
      <c r="G5" s="23"/>
      <c r="H5" s="23"/>
      <c r="I5" s="23"/>
      <c r="J5" s="25" t="n">
        <f aca="false">IFERROR(INDEX(Precios!$C$2:$D$25,MATCH($D5,Precios!$A$2:$A$25,0),IF($F5="Transferencia",2,1)),0)</f>
        <v>0</v>
      </c>
      <c r="K5" s="25" t="n">
        <f aca="false">E5*J5</f>
        <v>0</v>
      </c>
    </row>
    <row r="6" customFormat="false" ht="15" hidden="false" customHeight="true" outlineLevel="0" collapsed="false">
      <c r="A6" s="21" t="str">
        <f aca="false">IF($D6="","",ROW()-1)</f>
        <v/>
      </c>
      <c r="B6" s="17"/>
      <c r="C6" s="22"/>
      <c r="D6" s="23"/>
      <c r="E6" s="24" t="n">
        <v>1</v>
      </c>
      <c r="F6" s="23"/>
      <c r="G6" s="23"/>
      <c r="H6" s="23"/>
      <c r="I6" s="23"/>
      <c r="J6" s="25" t="n">
        <f aca="false">IFERROR(INDEX(Precios!$C$2:$D$25,MATCH($D6,Precios!$A$2:$A$25,0),IF($F6="Transferencia",2,1)),0)</f>
        <v>0</v>
      </c>
      <c r="K6" s="25" t="n">
        <f aca="false">E6*J6</f>
        <v>0</v>
      </c>
    </row>
    <row r="7" customFormat="false" ht="15" hidden="false" customHeight="true" outlineLevel="0" collapsed="false">
      <c r="A7" s="21" t="str">
        <f aca="false">IF($D7="","",ROW()-1)</f>
        <v/>
      </c>
      <c r="B7" s="17"/>
      <c r="C7" s="22"/>
      <c r="D7" s="23"/>
      <c r="E7" s="24" t="n">
        <v>1</v>
      </c>
      <c r="F7" s="23"/>
      <c r="G7" s="23"/>
      <c r="H7" s="23"/>
      <c r="I7" s="23"/>
      <c r="J7" s="25" t="n">
        <f aca="false">IFERROR(INDEX(Precios!$C$2:$D$25,MATCH($D7,Precios!$A$2:$A$25,0),IF($F7="Transferencia",2,1)),0)</f>
        <v>0</v>
      </c>
      <c r="K7" s="25" t="n">
        <f aca="false">E7*J7</f>
        <v>0</v>
      </c>
    </row>
    <row r="8" customFormat="false" ht="15" hidden="false" customHeight="true" outlineLevel="0" collapsed="false">
      <c r="A8" s="21" t="str">
        <f aca="false">IF($D8="","",ROW()-1)</f>
        <v/>
      </c>
      <c r="B8" s="17"/>
      <c r="C8" s="22"/>
      <c r="D8" s="23"/>
      <c r="E8" s="24" t="n">
        <v>1</v>
      </c>
      <c r="F8" s="23"/>
      <c r="G8" s="23"/>
      <c r="H8" s="23"/>
      <c r="I8" s="23"/>
      <c r="J8" s="25" t="n">
        <f aca="false">IFERROR(INDEX(Precios!$C$2:$D$25,MATCH($D8,Precios!$A$2:$A$25,0),IF($F8="Transferencia",2,1)),0)</f>
        <v>0</v>
      </c>
      <c r="K8" s="25" t="n">
        <f aca="false">E8*J8</f>
        <v>0</v>
      </c>
    </row>
    <row r="9" customFormat="false" ht="15" hidden="false" customHeight="true" outlineLevel="0" collapsed="false">
      <c r="A9" s="21" t="str">
        <f aca="false">IF($D9="","",ROW()-1)</f>
        <v/>
      </c>
      <c r="B9" s="17"/>
      <c r="C9" s="22"/>
      <c r="D9" s="23"/>
      <c r="E9" s="24" t="n">
        <v>1</v>
      </c>
      <c r="F9" s="23"/>
      <c r="G9" s="23"/>
      <c r="H9" s="23"/>
      <c r="I9" s="23"/>
      <c r="J9" s="25" t="n">
        <f aca="false">IFERROR(INDEX(Precios!$C$2:$D$25,MATCH($D9,Precios!$A$2:$A$25,0),IF($F9="Transferencia",2,1)),0)</f>
        <v>0</v>
      </c>
      <c r="K9" s="25" t="n">
        <f aca="false">E9*J9</f>
        <v>0</v>
      </c>
    </row>
    <row r="10" customFormat="false" ht="15" hidden="false" customHeight="true" outlineLevel="0" collapsed="false">
      <c r="A10" s="21" t="str">
        <f aca="false">IF($D10="","",ROW()-1)</f>
        <v/>
      </c>
      <c r="B10" s="17"/>
      <c r="C10" s="22"/>
      <c r="D10" s="23"/>
      <c r="E10" s="24" t="n">
        <v>1</v>
      </c>
      <c r="F10" s="23"/>
      <c r="G10" s="23"/>
      <c r="H10" s="23"/>
      <c r="I10" s="23"/>
      <c r="J10" s="25" t="n">
        <f aca="false">IFERROR(INDEX(Precios!$C$2:$D$25,MATCH($D10,Precios!$A$2:$A$25,0),IF($F10="Transferencia",2,1)),0)</f>
        <v>0</v>
      </c>
      <c r="K10" s="25" t="n">
        <f aca="false">E10*J10</f>
        <v>0</v>
      </c>
    </row>
    <row r="11" customFormat="false" ht="15" hidden="false" customHeight="true" outlineLevel="0" collapsed="false">
      <c r="A11" s="21" t="str">
        <f aca="false">IF($D11="","",ROW()-1)</f>
        <v/>
      </c>
      <c r="B11" s="17"/>
      <c r="C11" s="22"/>
      <c r="D11" s="23"/>
      <c r="E11" s="24" t="n">
        <v>1</v>
      </c>
      <c r="F11" s="23"/>
      <c r="G11" s="23"/>
      <c r="H11" s="23"/>
      <c r="I11" s="23"/>
      <c r="J11" s="25" t="n">
        <f aca="false">IFERROR(INDEX(Precios!$C$2:$D$25,MATCH($D11,Precios!$A$2:$A$25,0),IF($F11="Transferencia",2,1)),0)</f>
        <v>0</v>
      </c>
      <c r="K11" s="25" t="n">
        <f aca="false">E11*J11</f>
        <v>0</v>
      </c>
    </row>
    <row r="12" customFormat="false" ht="15" hidden="false" customHeight="true" outlineLevel="0" collapsed="false">
      <c r="A12" s="21" t="str">
        <f aca="false">IF($D12="","",ROW()-1)</f>
        <v/>
      </c>
      <c r="B12" s="17"/>
      <c r="C12" s="22"/>
      <c r="D12" s="23"/>
      <c r="E12" s="24" t="n">
        <v>1</v>
      </c>
      <c r="F12" s="23"/>
      <c r="G12" s="23"/>
      <c r="H12" s="23"/>
      <c r="I12" s="23"/>
      <c r="J12" s="25" t="n">
        <f aca="false">IFERROR(INDEX(Precios!$C$2:$D$25,MATCH($D12,Precios!$A$2:$A$25,0),IF($F12="Transferencia",2,1)),0)</f>
        <v>0</v>
      </c>
      <c r="K12" s="25" t="n">
        <f aca="false">E12*J12</f>
        <v>0</v>
      </c>
    </row>
    <row r="13" customFormat="false" ht="15" hidden="false" customHeight="true" outlineLevel="0" collapsed="false">
      <c r="A13" s="21" t="str">
        <f aca="false">IF($D13="","",ROW()-1)</f>
        <v/>
      </c>
      <c r="B13" s="17"/>
      <c r="C13" s="22"/>
      <c r="D13" s="23"/>
      <c r="E13" s="24" t="n">
        <v>1</v>
      </c>
      <c r="F13" s="23"/>
      <c r="G13" s="23"/>
      <c r="H13" s="23"/>
      <c r="I13" s="23"/>
      <c r="J13" s="25" t="n">
        <f aca="false">IFERROR(INDEX(Precios!$C$2:$D$25,MATCH($D13,Precios!$A$2:$A$25,0),IF($F13="Transferencia",2,1)),0)</f>
        <v>0</v>
      </c>
      <c r="K13" s="25" t="n">
        <f aca="false">E13*J13</f>
        <v>0</v>
      </c>
    </row>
    <row r="14" customFormat="false" ht="15" hidden="false" customHeight="true" outlineLevel="0" collapsed="false">
      <c r="A14" s="21" t="str">
        <f aca="false">IF($D14="","",ROW()-1)</f>
        <v/>
      </c>
      <c r="B14" s="17"/>
      <c r="C14" s="22"/>
      <c r="D14" s="23"/>
      <c r="E14" s="24" t="n">
        <v>1</v>
      </c>
      <c r="F14" s="23"/>
      <c r="G14" s="23"/>
      <c r="H14" s="23"/>
      <c r="I14" s="23"/>
      <c r="J14" s="25" t="n">
        <f aca="false">IFERROR(INDEX(Precios!$C$2:$D$25,MATCH($D14,Precios!$A$2:$A$25,0),IF($F14="Transferencia",2,1)),0)</f>
        <v>0</v>
      </c>
      <c r="K14" s="25" t="n">
        <f aca="false">E14*J14</f>
        <v>0</v>
      </c>
    </row>
    <row r="15" customFormat="false" ht="15" hidden="false" customHeight="true" outlineLevel="0" collapsed="false">
      <c r="A15" s="21" t="str">
        <f aca="false">IF($D15="","",ROW()-1)</f>
        <v/>
      </c>
      <c r="B15" s="17"/>
      <c r="C15" s="22"/>
      <c r="D15" s="23"/>
      <c r="E15" s="24" t="n">
        <v>1</v>
      </c>
      <c r="F15" s="23"/>
      <c r="G15" s="23"/>
      <c r="H15" s="23"/>
      <c r="I15" s="23"/>
      <c r="J15" s="25" t="n">
        <f aca="false">IFERROR(INDEX(Precios!$C$2:$D$25,MATCH($D15,Precios!$A$2:$A$25,0),IF($F15="Transferencia",2,1)),0)</f>
        <v>0</v>
      </c>
      <c r="K15" s="25" t="n">
        <f aca="false">E15*J15</f>
        <v>0</v>
      </c>
    </row>
    <row r="16" customFormat="false" ht="15" hidden="false" customHeight="true" outlineLevel="0" collapsed="false">
      <c r="A16" s="21" t="str">
        <f aca="false">IF($D16="","",ROW()-1)</f>
        <v/>
      </c>
      <c r="B16" s="17"/>
      <c r="C16" s="22"/>
      <c r="D16" s="23"/>
      <c r="E16" s="24" t="n">
        <v>1</v>
      </c>
      <c r="F16" s="23"/>
      <c r="G16" s="23"/>
      <c r="H16" s="23"/>
      <c r="I16" s="23"/>
      <c r="J16" s="25" t="n">
        <f aca="false">IFERROR(INDEX(Precios!$C$2:$D$25,MATCH($D16,Precios!$A$2:$A$25,0),IF($F16="Transferencia",2,1)),0)</f>
        <v>0</v>
      </c>
      <c r="K16" s="25" t="n">
        <f aca="false">E16*J16</f>
        <v>0</v>
      </c>
    </row>
    <row r="17" customFormat="false" ht="15" hidden="false" customHeight="true" outlineLevel="0" collapsed="false">
      <c r="A17" s="21" t="str">
        <f aca="false">IF($D17="","",ROW()-1)</f>
        <v/>
      </c>
      <c r="B17" s="17"/>
      <c r="C17" s="22"/>
      <c r="D17" s="23"/>
      <c r="E17" s="24" t="n">
        <v>1</v>
      </c>
      <c r="F17" s="23"/>
      <c r="G17" s="23"/>
      <c r="H17" s="23"/>
      <c r="I17" s="23"/>
      <c r="J17" s="25" t="n">
        <f aca="false">IFERROR(INDEX(Precios!$C$2:$D$25,MATCH($D17,Precios!$A$2:$A$25,0),IF($F17="Transferencia",2,1)),0)</f>
        <v>0</v>
      </c>
      <c r="K17" s="25" t="n">
        <f aca="false">E17*J17</f>
        <v>0</v>
      </c>
    </row>
    <row r="18" customFormat="false" ht="15" hidden="false" customHeight="true" outlineLevel="0" collapsed="false">
      <c r="A18" s="21" t="str">
        <f aca="false">IF($D18="","",ROW()-1)</f>
        <v/>
      </c>
      <c r="B18" s="17"/>
      <c r="C18" s="22"/>
      <c r="D18" s="23"/>
      <c r="E18" s="24" t="n">
        <v>1</v>
      </c>
      <c r="F18" s="23"/>
      <c r="G18" s="23"/>
      <c r="H18" s="23"/>
      <c r="I18" s="23"/>
      <c r="J18" s="25" t="n">
        <f aca="false">IFERROR(INDEX(Precios!$C$2:$D$25,MATCH($D18,Precios!$A$2:$A$25,0),IF($F18="Transferencia",2,1)),0)</f>
        <v>0</v>
      </c>
      <c r="K18" s="25" t="n">
        <f aca="false">E18*J18</f>
        <v>0</v>
      </c>
    </row>
    <row r="19" customFormat="false" ht="15" hidden="false" customHeight="true" outlineLevel="0" collapsed="false">
      <c r="A19" s="21" t="str">
        <f aca="false">IF($D19="","",ROW()-1)</f>
        <v/>
      </c>
      <c r="B19" s="17"/>
      <c r="C19" s="22"/>
      <c r="D19" s="23"/>
      <c r="E19" s="24" t="n">
        <v>1</v>
      </c>
      <c r="F19" s="23"/>
      <c r="G19" s="23"/>
      <c r="H19" s="23"/>
      <c r="I19" s="23"/>
      <c r="J19" s="25" t="n">
        <f aca="false">IFERROR(INDEX(Precios!$C$2:$D$25,MATCH($D19,Precios!$A$2:$A$25,0),IF($F19="Transferencia",2,1)),0)</f>
        <v>0</v>
      </c>
      <c r="K19" s="25" t="n">
        <f aca="false">E19*J19</f>
        <v>0</v>
      </c>
    </row>
    <row r="20" customFormat="false" ht="15" hidden="false" customHeight="true" outlineLevel="0" collapsed="false">
      <c r="A20" s="21" t="str">
        <f aca="false">IF($D20="","",ROW()-1)</f>
        <v/>
      </c>
      <c r="B20" s="17"/>
      <c r="C20" s="22"/>
      <c r="D20" s="23"/>
      <c r="E20" s="24" t="n">
        <v>1</v>
      </c>
      <c r="F20" s="23"/>
      <c r="G20" s="23"/>
      <c r="H20" s="23"/>
      <c r="I20" s="23"/>
      <c r="J20" s="25" t="n">
        <f aca="false">IFERROR(INDEX(Precios!$C$2:$D$25,MATCH($D20,Precios!$A$2:$A$25,0),IF($F20="Transferencia",2,1)),0)</f>
        <v>0</v>
      </c>
      <c r="K20" s="25" t="n">
        <f aca="false">E20*J20</f>
        <v>0</v>
      </c>
    </row>
    <row r="21" customFormat="false" ht="15" hidden="false" customHeight="true" outlineLevel="0" collapsed="false">
      <c r="A21" s="21" t="str">
        <f aca="false">IF($D21="","",ROW()-1)</f>
        <v/>
      </c>
      <c r="B21" s="17"/>
      <c r="C21" s="22"/>
      <c r="D21" s="23"/>
      <c r="E21" s="24" t="n">
        <v>1</v>
      </c>
      <c r="F21" s="23"/>
      <c r="G21" s="23"/>
      <c r="H21" s="23"/>
      <c r="I21" s="23"/>
      <c r="J21" s="25" t="n">
        <f aca="false">IFERROR(INDEX(Precios!$C$2:$D$25,MATCH($D21,Precios!$A$2:$A$25,0),IF($F21="Transferencia",2,1)),0)</f>
        <v>0</v>
      </c>
      <c r="K21" s="25" t="n">
        <f aca="false">E21*J21</f>
        <v>0</v>
      </c>
    </row>
    <row r="22" customFormat="false" ht="15" hidden="false" customHeight="true" outlineLevel="0" collapsed="false">
      <c r="A22" s="21" t="str">
        <f aca="false">IF($D22="","",ROW()-1)</f>
        <v/>
      </c>
      <c r="B22" s="17"/>
      <c r="C22" s="22"/>
      <c r="D22" s="23"/>
      <c r="E22" s="24" t="n">
        <v>1</v>
      </c>
      <c r="F22" s="23"/>
      <c r="G22" s="23"/>
      <c r="H22" s="23"/>
      <c r="I22" s="23"/>
      <c r="J22" s="25" t="n">
        <f aca="false">IFERROR(INDEX(Precios!$C$2:$D$25,MATCH($D22,Precios!$A$2:$A$25,0),IF($F22="Transferencia",2,1)),0)</f>
        <v>0</v>
      </c>
      <c r="K22" s="25" t="n">
        <f aca="false">E22*J22</f>
        <v>0</v>
      </c>
    </row>
    <row r="23" customFormat="false" ht="15" hidden="false" customHeight="true" outlineLevel="0" collapsed="false">
      <c r="A23" s="21" t="str">
        <f aca="false">IF($D23="","",ROW()-1)</f>
        <v/>
      </c>
      <c r="B23" s="17"/>
      <c r="C23" s="22"/>
      <c r="D23" s="23"/>
      <c r="E23" s="24" t="n">
        <v>1</v>
      </c>
      <c r="F23" s="23"/>
      <c r="G23" s="23"/>
      <c r="H23" s="23"/>
      <c r="I23" s="23"/>
      <c r="J23" s="25" t="n">
        <f aca="false">IFERROR(INDEX(Precios!$C$2:$D$25,MATCH($D23,Precios!$A$2:$A$25,0),IF($F23="Transferencia",2,1)),0)</f>
        <v>0</v>
      </c>
      <c r="K23" s="25" t="n">
        <f aca="false">E23*J23</f>
        <v>0</v>
      </c>
    </row>
    <row r="24" customFormat="false" ht="15" hidden="false" customHeight="true" outlineLevel="0" collapsed="false">
      <c r="A24" s="21" t="str">
        <f aca="false">IF($D24="","",ROW()-1)</f>
        <v/>
      </c>
      <c r="B24" s="17"/>
      <c r="C24" s="22"/>
      <c r="D24" s="23"/>
      <c r="E24" s="24" t="n">
        <v>1</v>
      </c>
      <c r="F24" s="23"/>
      <c r="G24" s="23"/>
      <c r="H24" s="23"/>
      <c r="I24" s="23"/>
      <c r="J24" s="25" t="n">
        <f aca="false">IFERROR(INDEX(Precios!$C$2:$D$25,MATCH($D24,Precios!$A$2:$A$25,0),IF($F24="Transferencia",2,1)),0)</f>
        <v>0</v>
      </c>
      <c r="K24" s="25" t="n">
        <f aca="false">E24*J24</f>
        <v>0</v>
      </c>
    </row>
    <row r="25" customFormat="false" ht="15" hidden="false" customHeight="true" outlineLevel="0" collapsed="false">
      <c r="A25" s="21" t="str">
        <f aca="false">IF($D25="","",ROW()-1)</f>
        <v/>
      </c>
      <c r="B25" s="17"/>
      <c r="C25" s="22"/>
      <c r="D25" s="23"/>
      <c r="E25" s="24" t="n">
        <v>1</v>
      </c>
      <c r="F25" s="23"/>
      <c r="G25" s="23"/>
      <c r="H25" s="23"/>
      <c r="I25" s="23"/>
      <c r="J25" s="25" t="n">
        <f aca="false">IFERROR(INDEX(Precios!$C$2:$D$25,MATCH($D25,Precios!$A$2:$A$25,0),IF($F25="Transferencia",2,1)),0)</f>
        <v>0</v>
      </c>
      <c r="K25" s="25" t="n">
        <f aca="false">E25*J25</f>
        <v>0</v>
      </c>
    </row>
    <row r="26" customFormat="false" ht="15" hidden="false" customHeight="true" outlineLevel="0" collapsed="false">
      <c r="A26" s="21" t="str">
        <f aca="false">IF($D26="","",ROW()-1)</f>
        <v/>
      </c>
      <c r="B26" s="17"/>
      <c r="C26" s="22"/>
      <c r="D26" s="23"/>
      <c r="E26" s="24" t="n">
        <v>1</v>
      </c>
      <c r="F26" s="23"/>
      <c r="G26" s="23"/>
      <c r="H26" s="23"/>
      <c r="I26" s="23"/>
      <c r="J26" s="25" t="n">
        <f aca="false">IFERROR(INDEX(Precios!$C$2:$D$25,MATCH($D26,Precios!$A$2:$A$25,0),IF($F26="Transferencia",2,1)),0)</f>
        <v>0</v>
      </c>
      <c r="K26" s="25" t="n">
        <f aca="false">E26*J26</f>
        <v>0</v>
      </c>
    </row>
    <row r="27" customFormat="false" ht="15" hidden="false" customHeight="true" outlineLevel="0" collapsed="false">
      <c r="A27" s="21" t="str">
        <f aca="false">IF($D27="","",ROW()-1)</f>
        <v/>
      </c>
      <c r="B27" s="17"/>
      <c r="C27" s="22"/>
      <c r="D27" s="23"/>
      <c r="E27" s="24" t="n">
        <v>1</v>
      </c>
      <c r="F27" s="23"/>
      <c r="G27" s="23"/>
      <c r="H27" s="23"/>
      <c r="I27" s="23"/>
      <c r="J27" s="25" t="n">
        <f aca="false">IFERROR(INDEX(Precios!$C$2:$D$25,MATCH($D27,Precios!$A$2:$A$25,0),IF($F27="Transferencia",2,1)),0)</f>
        <v>0</v>
      </c>
      <c r="K27" s="25" t="n">
        <f aca="false">E27*J27</f>
        <v>0</v>
      </c>
    </row>
    <row r="28" customFormat="false" ht="15" hidden="false" customHeight="true" outlineLevel="0" collapsed="false">
      <c r="A28" s="21" t="str">
        <f aca="false">IF($D28="","",ROW()-1)</f>
        <v/>
      </c>
      <c r="B28" s="17"/>
      <c r="C28" s="22"/>
      <c r="D28" s="23"/>
      <c r="E28" s="24" t="n">
        <v>1</v>
      </c>
      <c r="F28" s="23"/>
      <c r="G28" s="23"/>
      <c r="H28" s="23"/>
      <c r="I28" s="23"/>
      <c r="J28" s="25" t="n">
        <f aca="false">IFERROR(INDEX(Precios!$C$2:$D$25,MATCH($D28,Precios!$A$2:$A$25,0),IF($F28="Transferencia",2,1)),0)</f>
        <v>0</v>
      </c>
      <c r="K28" s="25" t="n">
        <f aca="false">E28*J28</f>
        <v>0</v>
      </c>
    </row>
    <row r="29" customFormat="false" ht="15" hidden="false" customHeight="true" outlineLevel="0" collapsed="false">
      <c r="A29" s="21" t="str">
        <f aca="false">IF($D29="","",ROW()-1)</f>
        <v/>
      </c>
      <c r="B29" s="17"/>
      <c r="C29" s="22"/>
      <c r="D29" s="23"/>
      <c r="E29" s="24" t="n">
        <v>1</v>
      </c>
      <c r="F29" s="23"/>
      <c r="G29" s="23"/>
      <c r="H29" s="23"/>
      <c r="I29" s="23"/>
      <c r="J29" s="25" t="n">
        <f aca="false">IFERROR(INDEX(Precios!$C$2:$D$25,MATCH($D29,Precios!$A$2:$A$25,0),IF($F29="Transferencia",2,1)),0)</f>
        <v>0</v>
      </c>
      <c r="K29" s="25" t="n">
        <f aca="false">E29*J29</f>
        <v>0</v>
      </c>
    </row>
    <row r="30" customFormat="false" ht="15" hidden="false" customHeight="true" outlineLevel="0" collapsed="false">
      <c r="A30" s="21" t="str">
        <f aca="false">IF($D30="","",ROW()-1)</f>
        <v/>
      </c>
      <c r="B30" s="17"/>
      <c r="C30" s="22"/>
      <c r="D30" s="23"/>
      <c r="E30" s="24" t="n">
        <v>1</v>
      </c>
      <c r="F30" s="23"/>
      <c r="G30" s="23"/>
      <c r="H30" s="23"/>
      <c r="I30" s="23"/>
      <c r="J30" s="25" t="n">
        <f aca="false">IFERROR(INDEX(Precios!$C$2:$D$25,MATCH($D30,Precios!$A$2:$A$25,0),IF($F30="Transferencia",2,1)),0)</f>
        <v>0</v>
      </c>
      <c r="K30" s="25" t="n">
        <f aca="false">E30*J30</f>
        <v>0</v>
      </c>
    </row>
    <row r="31" customFormat="false" ht="15" hidden="false" customHeight="true" outlineLevel="0" collapsed="false">
      <c r="A31" s="21" t="str">
        <f aca="false">IF($D31="","",ROW()-1)</f>
        <v/>
      </c>
      <c r="B31" s="17"/>
      <c r="C31" s="22"/>
      <c r="D31" s="23"/>
      <c r="E31" s="24" t="n">
        <v>1</v>
      </c>
      <c r="F31" s="23"/>
      <c r="G31" s="23"/>
      <c r="H31" s="23"/>
      <c r="I31" s="23"/>
      <c r="J31" s="25" t="n">
        <f aca="false">IFERROR(INDEX(Precios!$C$2:$D$25,MATCH($D31,Precios!$A$2:$A$25,0),IF($F31="Transferencia",2,1)),0)</f>
        <v>0</v>
      </c>
      <c r="K31" s="25" t="n">
        <f aca="false">E31*J31</f>
        <v>0</v>
      </c>
    </row>
    <row r="32" customFormat="false" ht="15" hidden="false" customHeight="true" outlineLevel="0" collapsed="false">
      <c r="A32" s="21" t="str">
        <f aca="false">IF($D32="","",ROW()-1)</f>
        <v/>
      </c>
      <c r="B32" s="17"/>
      <c r="C32" s="22"/>
      <c r="D32" s="23"/>
      <c r="E32" s="24" t="n">
        <v>1</v>
      </c>
      <c r="F32" s="23"/>
      <c r="G32" s="23"/>
      <c r="H32" s="23"/>
      <c r="I32" s="23"/>
      <c r="J32" s="25" t="n">
        <f aca="false">IFERROR(INDEX(Precios!$C$2:$D$25,MATCH($D32,Precios!$A$2:$A$25,0),IF($F32="Transferencia",2,1)),0)</f>
        <v>0</v>
      </c>
      <c r="K32" s="25" t="n">
        <f aca="false">E32*J32</f>
        <v>0</v>
      </c>
    </row>
    <row r="33" customFormat="false" ht="15" hidden="false" customHeight="true" outlineLevel="0" collapsed="false">
      <c r="A33" s="21" t="str">
        <f aca="false">IF($D33="","",ROW()-1)</f>
        <v/>
      </c>
      <c r="B33" s="17"/>
      <c r="C33" s="22"/>
      <c r="D33" s="23"/>
      <c r="E33" s="24" t="n">
        <v>1</v>
      </c>
      <c r="F33" s="23"/>
      <c r="G33" s="23"/>
      <c r="H33" s="23"/>
      <c r="I33" s="23"/>
      <c r="J33" s="25" t="n">
        <f aca="false">IFERROR(INDEX(Precios!$C$2:$D$25,MATCH($D33,Precios!$A$2:$A$25,0),IF($F33="Transferencia",2,1)),0)</f>
        <v>0</v>
      </c>
      <c r="K33" s="25" t="n">
        <f aca="false">E33*J33</f>
        <v>0</v>
      </c>
    </row>
    <row r="34" customFormat="false" ht="15" hidden="false" customHeight="true" outlineLevel="0" collapsed="false">
      <c r="A34" s="21" t="str">
        <f aca="false">IF($D34="","",ROW()-1)</f>
        <v/>
      </c>
      <c r="B34" s="17"/>
      <c r="C34" s="22"/>
      <c r="D34" s="23"/>
      <c r="E34" s="24" t="n">
        <v>1</v>
      </c>
      <c r="F34" s="23"/>
      <c r="G34" s="23"/>
      <c r="H34" s="23"/>
      <c r="I34" s="23"/>
      <c r="J34" s="25" t="n">
        <f aca="false">IFERROR(INDEX(Precios!$C$2:$D$25,MATCH($D34,Precios!$A$2:$A$25,0),IF($F34="Transferencia",2,1)),0)</f>
        <v>0</v>
      </c>
      <c r="K34" s="25" t="n">
        <f aca="false">E34*J34</f>
        <v>0</v>
      </c>
    </row>
    <row r="35" customFormat="false" ht="15" hidden="false" customHeight="true" outlineLevel="0" collapsed="false">
      <c r="A35" s="21" t="str">
        <f aca="false">IF($D35="","",ROW()-1)</f>
        <v/>
      </c>
      <c r="B35" s="17"/>
      <c r="C35" s="22"/>
      <c r="D35" s="23"/>
      <c r="E35" s="24" t="n">
        <v>1</v>
      </c>
      <c r="F35" s="23"/>
      <c r="G35" s="23"/>
      <c r="H35" s="23"/>
      <c r="I35" s="23"/>
      <c r="J35" s="25" t="n">
        <f aca="false">IFERROR(INDEX(Precios!$C$2:$D$25,MATCH($D35,Precios!$A$2:$A$25,0),IF($F35="Transferencia",2,1)),0)</f>
        <v>0</v>
      </c>
      <c r="K35" s="25" t="n">
        <f aca="false">E35*J35</f>
        <v>0</v>
      </c>
    </row>
    <row r="36" customFormat="false" ht="15" hidden="false" customHeight="true" outlineLevel="0" collapsed="false">
      <c r="A36" s="21" t="str">
        <f aca="false">IF($D36="","",ROW()-1)</f>
        <v/>
      </c>
      <c r="B36" s="17"/>
      <c r="C36" s="22"/>
      <c r="D36" s="23"/>
      <c r="E36" s="24" t="n">
        <v>1</v>
      </c>
      <c r="F36" s="23"/>
      <c r="G36" s="23"/>
      <c r="H36" s="23"/>
      <c r="I36" s="23"/>
      <c r="J36" s="25" t="n">
        <f aca="false">IFERROR(INDEX(Precios!$C$2:$D$25,MATCH($D36,Precios!$A$2:$A$25,0),IF($F36="Transferencia",2,1)),0)</f>
        <v>0</v>
      </c>
      <c r="K36" s="25" t="n">
        <f aca="false">E36*J36</f>
        <v>0</v>
      </c>
    </row>
    <row r="37" customFormat="false" ht="15" hidden="false" customHeight="true" outlineLevel="0" collapsed="false">
      <c r="A37" s="21" t="str">
        <f aca="false">IF($D37="","",ROW()-1)</f>
        <v/>
      </c>
      <c r="B37" s="17"/>
      <c r="C37" s="22"/>
      <c r="D37" s="23"/>
      <c r="E37" s="24" t="n">
        <v>1</v>
      </c>
      <c r="F37" s="23"/>
      <c r="G37" s="23"/>
      <c r="H37" s="23"/>
      <c r="I37" s="23"/>
      <c r="J37" s="25" t="n">
        <f aca="false">IFERROR(INDEX(Precios!$C$2:$D$25,MATCH($D37,Precios!$A$2:$A$25,0),IF($F37="Transferencia",2,1)),0)</f>
        <v>0</v>
      </c>
      <c r="K37" s="25" t="n">
        <f aca="false">E37*J37</f>
        <v>0</v>
      </c>
    </row>
    <row r="38" customFormat="false" ht="15" hidden="false" customHeight="true" outlineLevel="0" collapsed="false">
      <c r="A38" s="21" t="str">
        <f aca="false">IF($D38="","",ROW()-1)</f>
        <v/>
      </c>
      <c r="B38" s="17"/>
      <c r="C38" s="22"/>
      <c r="D38" s="23"/>
      <c r="E38" s="24" t="n">
        <v>1</v>
      </c>
      <c r="F38" s="23"/>
      <c r="G38" s="23"/>
      <c r="H38" s="23"/>
      <c r="I38" s="23"/>
      <c r="J38" s="25" t="n">
        <f aca="false">IFERROR(INDEX(Precios!$C$2:$D$25,MATCH($D38,Precios!$A$2:$A$25,0),IF($F38="Transferencia",2,1)),0)</f>
        <v>0</v>
      </c>
      <c r="K38" s="25" t="n">
        <f aca="false">E38*J38</f>
        <v>0</v>
      </c>
    </row>
    <row r="39" customFormat="false" ht="15" hidden="false" customHeight="true" outlineLevel="0" collapsed="false">
      <c r="A39" s="21" t="str">
        <f aca="false">IF($D39="","",ROW()-1)</f>
        <v/>
      </c>
      <c r="B39" s="17"/>
      <c r="C39" s="22"/>
      <c r="D39" s="23"/>
      <c r="E39" s="24" t="n">
        <v>1</v>
      </c>
      <c r="F39" s="23"/>
      <c r="G39" s="23"/>
      <c r="H39" s="23"/>
      <c r="I39" s="23"/>
      <c r="J39" s="25" t="n">
        <f aca="false">IFERROR(INDEX(Precios!$C$2:$D$25,MATCH($D39,Precios!$A$2:$A$25,0),IF($F39="Transferencia",2,1)),0)</f>
        <v>0</v>
      </c>
      <c r="K39" s="25" t="n">
        <f aca="false">E39*J39</f>
        <v>0</v>
      </c>
    </row>
    <row r="40" customFormat="false" ht="15" hidden="false" customHeight="true" outlineLevel="0" collapsed="false">
      <c r="A40" s="21" t="str">
        <f aca="false">IF($D40="","",ROW()-1)</f>
        <v/>
      </c>
      <c r="B40" s="17"/>
      <c r="C40" s="22"/>
      <c r="D40" s="23"/>
      <c r="E40" s="24" t="n">
        <v>1</v>
      </c>
      <c r="F40" s="23"/>
      <c r="G40" s="23"/>
      <c r="H40" s="23"/>
      <c r="I40" s="23"/>
      <c r="J40" s="25" t="n">
        <f aca="false">IFERROR(INDEX(Precios!$C$2:$D$25,MATCH($D40,Precios!$A$2:$A$25,0),IF($F40="Transferencia",2,1)),0)</f>
        <v>0</v>
      </c>
      <c r="K40" s="25" t="n">
        <f aca="false">E40*J40</f>
        <v>0</v>
      </c>
    </row>
    <row r="41" customFormat="false" ht="15" hidden="false" customHeight="true" outlineLevel="0" collapsed="false">
      <c r="A41" s="21" t="str">
        <f aca="false">IF($D41="","",ROW()-1)</f>
        <v/>
      </c>
      <c r="B41" s="17"/>
      <c r="C41" s="22"/>
      <c r="D41" s="23"/>
      <c r="E41" s="24" t="n">
        <v>1</v>
      </c>
      <c r="F41" s="23"/>
      <c r="G41" s="23"/>
      <c r="H41" s="23"/>
      <c r="I41" s="23"/>
      <c r="J41" s="25" t="n">
        <f aca="false">IFERROR(INDEX(Precios!$C$2:$D$25,MATCH($D41,Precios!$A$2:$A$25,0),IF($F41="Transferencia",2,1)),0)</f>
        <v>0</v>
      </c>
      <c r="K41" s="25" t="n">
        <f aca="false">E41*J41</f>
        <v>0</v>
      </c>
    </row>
    <row r="42" customFormat="false" ht="15" hidden="false" customHeight="true" outlineLevel="0" collapsed="false">
      <c r="A42" s="21" t="str">
        <f aca="false">IF($D42="","",ROW()-1)</f>
        <v/>
      </c>
      <c r="B42" s="17"/>
      <c r="C42" s="22"/>
      <c r="D42" s="23"/>
      <c r="E42" s="24" t="n">
        <v>1</v>
      </c>
      <c r="F42" s="23"/>
      <c r="G42" s="23"/>
      <c r="H42" s="23"/>
      <c r="I42" s="23"/>
      <c r="J42" s="25" t="n">
        <f aca="false">IFERROR(INDEX(Precios!$C$2:$D$25,MATCH($D42,Precios!$A$2:$A$25,0),IF($F42="Transferencia",2,1)),0)</f>
        <v>0</v>
      </c>
      <c r="K42" s="25" t="n">
        <f aca="false">E42*J42</f>
        <v>0</v>
      </c>
    </row>
    <row r="43" customFormat="false" ht="15" hidden="false" customHeight="true" outlineLevel="0" collapsed="false">
      <c r="A43" s="21" t="str">
        <f aca="false">IF($D43="","",ROW()-1)</f>
        <v/>
      </c>
      <c r="B43" s="17"/>
      <c r="C43" s="22"/>
      <c r="D43" s="23"/>
      <c r="E43" s="24" t="n">
        <v>1</v>
      </c>
      <c r="F43" s="23"/>
      <c r="G43" s="23"/>
      <c r="H43" s="23"/>
      <c r="I43" s="23"/>
      <c r="J43" s="25" t="n">
        <f aca="false">IFERROR(INDEX(Precios!$C$2:$D$25,MATCH($D43,Precios!$A$2:$A$25,0),IF($F43="Transferencia",2,1)),0)</f>
        <v>0</v>
      </c>
      <c r="K43" s="25" t="n">
        <f aca="false">E43*J43</f>
        <v>0</v>
      </c>
    </row>
    <row r="44" customFormat="false" ht="15" hidden="false" customHeight="true" outlineLevel="0" collapsed="false">
      <c r="A44" s="21" t="str">
        <f aca="false">IF($D44="","",ROW()-1)</f>
        <v/>
      </c>
      <c r="B44" s="17"/>
      <c r="C44" s="22"/>
      <c r="D44" s="23"/>
      <c r="E44" s="24" t="n">
        <v>1</v>
      </c>
      <c r="F44" s="23"/>
      <c r="G44" s="23"/>
      <c r="H44" s="23"/>
      <c r="I44" s="23"/>
      <c r="J44" s="25" t="n">
        <f aca="false">IFERROR(INDEX(Precios!$C$2:$D$25,MATCH($D44,Precios!$A$2:$A$25,0),IF($F44="Transferencia",2,1)),0)</f>
        <v>0</v>
      </c>
      <c r="K44" s="25" t="n">
        <f aca="false">E44*J44</f>
        <v>0</v>
      </c>
    </row>
    <row r="45" customFormat="false" ht="15" hidden="false" customHeight="true" outlineLevel="0" collapsed="false">
      <c r="A45" s="21" t="str">
        <f aca="false">IF($D45="","",ROW()-1)</f>
        <v/>
      </c>
      <c r="B45" s="17"/>
      <c r="C45" s="22"/>
      <c r="D45" s="23"/>
      <c r="E45" s="24" t="n">
        <v>1</v>
      </c>
      <c r="F45" s="23"/>
      <c r="G45" s="23"/>
      <c r="H45" s="23"/>
      <c r="I45" s="23"/>
      <c r="J45" s="25" t="n">
        <f aca="false">IFERROR(INDEX(Precios!$C$2:$D$25,MATCH($D45,Precios!$A$2:$A$25,0),IF($F45="Transferencia",2,1)),0)</f>
        <v>0</v>
      </c>
      <c r="K45" s="25" t="n">
        <f aca="false">E45*J45</f>
        <v>0</v>
      </c>
    </row>
    <row r="46" customFormat="false" ht="15" hidden="false" customHeight="true" outlineLevel="0" collapsed="false">
      <c r="A46" s="21" t="str">
        <f aca="false">IF($D46="","",ROW()-1)</f>
        <v/>
      </c>
      <c r="B46" s="17"/>
      <c r="C46" s="22"/>
      <c r="D46" s="23"/>
      <c r="E46" s="24" t="n">
        <v>1</v>
      </c>
      <c r="F46" s="23"/>
      <c r="G46" s="23"/>
      <c r="H46" s="23"/>
      <c r="I46" s="23"/>
      <c r="J46" s="25" t="n">
        <f aca="false">IFERROR(INDEX(Precios!$C$2:$D$25,MATCH($D46,Precios!$A$2:$A$25,0),IF($F46="Transferencia",2,1)),0)</f>
        <v>0</v>
      </c>
      <c r="K46" s="25" t="n">
        <f aca="false">E46*J46</f>
        <v>0</v>
      </c>
    </row>
    <row r="47" customFormat="false" ht="15" hidden="false" customHeight="true" outlineLevel="0" collapsed="false">
      <c r="A47" s="21" t="str">
        <f aca="false">IF($D47="","",ROW()-1)</f>
        <v/>
      </c>
      <c r="B47" s="17"/>
      <c r="C47" s="22"/>
      <c r="D47" s="23"/>
      <c r="E47" s="24" t="n">
        <v>1</v>
      </c>
      <c r="F47" s="23"/>
      <c r="G47" s="23"/>
      <c r="H47" s="23"/>
      <c r="I47" s="23"/>
      <c r="J47" s="25" t="n">
        <f aca="false">IFERROR(INDEX(Precios!$C$2:$D$25,MATCH($D47,Precios!$A$2:$A$25,0),IF($F47="Transferencia",2,1)),0)</f>
        <v>0</v>
      </c>
      <c r="K47" s="25" t="n">
        <f aca="false">E47*J47</f>
        <v>0</v>
      </c>
    </row>
    <row r="48" customFormat="false" ht="15" hidden="false" customHeight="true" outlineLevel="0" collapsed="false">
      <c r="A48" s="21" t="str">
        <f aca="false">IF($D48="","",ROW()-1)</f>
        <v/>
      </c>
      <c r="B48" s="17"/>
      <c r="C48" s="22"/>
      <c r="D48" s="23"/>
      <c r="E48" s="24" t="n">
        <v>1</v>
      </c>
      <c r="F48" s="23"/>
      <c r="G48" s="23"/>
      <c r="H48" s="23"/>
      <c r="I48" s="23"/>
      <c r="J48" s="25" t="n">
        <f aca="false">IFERROR(INDEX(Precios!$C$2:$D$25,MATCH($D48,Precios!$A$2:$A$25,0),IF($F48="Transferencia",2,1)),0)</f>
        <v>0</v>
      </c>
      <c r="K48" s="25" t="n">
        <f aca="false">E48*J48</f>
        <v>0</v>
      </c>
    </row>
    <row r="49" customFormat="false" ht="15" hidden="false" customHeight="true" outlineLevel="0" collapsed="false">
      <c r="A49" s="21" t="str">
        <f aca="false">IF($D49="","",ROW()-1)</f>
        <v/>
      </c>
      <c r="B49" s="17"/>
      <c r="C49" s="22"/>
      <c r="D49" s="23"/>
      <c r="E49" s="24" t="n">
        <v>1</v>
      </c>
      <c r="F49" s="23"/>
      <c r="G49" s="23"/>
      <c r="H49" s="23"/>
      <c r="I49" s="23"/>
      <c r="J49" s="25" t="n">
        <f aca="false">IFERROR(INDEX(Precios!$C$2:$D$25,MATCH($D49,Precios!$A$2:$A$25,0),IF($F49="Transferencia",2,1)),0)</f>
        <v>0</v>
      </c>
      <c r="K49" s="25" t="n">
        <f aca="false">E49*J49</f>
        <v>0</v>
      </c>
    </row>
    <row r="50" customFormat="false" ht="15" hidden="false" customHeight="true" outlineLevel="0" collapsed="false">
      <c r="A50" s="21" t="str">
        <f aca="false">IF($D50="","",ROW()-1)</f>
        <v/>
      </c>
      <c r="B50" s="17"/>
      <c r="C50" s="22"/>
      <c r="D50" s="23"/>
      <c r="E50" s="24" t="n">
        <v>1</v>
      </c>
      <c r="F50" s="23"/>
      <c r="G50" s="23"/>
      <c r="H50" s="23"/>
      <c r="I50" s="23"/>
      <c r="J50" s="25" t="n">
        <f aca="false">IFERROR(INDEX(Precios!$C$2:$D$25,MATCH($D50,Precios!$A$2:$A$25,0),IF($F50="Transferencia",2,1)),0)</f>
        <v>0</v>
      </c>
      <c r="K50" s="25" t="n">
        <f aca="false">E50*J50</f>
        <v>0</v>
      </c>
    </row>
    <row r="51" customFormat="false" ht="15" hidden="false" customHeight="true" outlineLevel="0" collapsed="false">
      <c r="A51" s="21" t="str">
        <f aca="false">IF($D51="","",ROW()-1)</f>
        <v/>
      </c>
      <c r="B51" s="17"/>
      <c r="C51" s="22"/>
      <c r="D51" s="23"/>
      <c r="E51" s="24" t="n">
        <v>1</v>
      </c>
      <c r="F51" s="23"/>
      <c r="G51" s="23"/>
      <c r="H51" s="23"/>
      <c r="I51" s="23"/>
      <c r="J51" s="25" t="n">
        <f aca="false">IFERROR(INDEX(Precios!$C$2:$D$25,MATCH($D51,Precios!$A$2:$A$25,0),IF($F51="Transferencia",2,1)),0)</f>
        <v>0</v>
      </c>
      <c r="K51" s="25" t="n">
        <f aca="false">E51*J51</f>
        <v>0</v>
      </c>
    </row>
    <row r="52" customFormat="false" ht="15" hidden="false" customHeight="true" outlineLevel="0" collapsed="false">
      <c r="A52" s="21" t="str">
        <f aca="false">IF($D52="","",ROW()-1)</f>
        <v/>
      </c>
      <c r="B52" s="17"/>
      <c r="C52" s="22"/>
      <c r="D52" s="23"/>
      <c r="E52" s="24" t="n">
        <v>1</v>
      </c>
      <c r="F52" s="23"/>
      <c r="G52" s="23"/>
      <c r="H52" s="23"/>
      <c r="I52" s="23"/>
      <c r="J52" s="25" t="n">
        <f aca="false">IFERROR(INDEX(Precios!$C$2:$D$25,MATCH($D52,Precios!$A$2:$A$25,0),IF($F52="Transferencia",2,1)),0)</f>
        <v>0</v>
      </c>
      <c r="K52" s="25" t="n">
        <f aca="false">E52*J52</f>
        <v>0</v>
      </c>
    </row>
    <row r="53" customFormat="false" ht="15" hidden="false" customHeight="true" outlineLevel="0" collapsed="false">
      <c r="A53" s="21" t="str">
        <f aca="false">IF($D53="","",ROW()-1)</f>
        <v/>
      </c>
      <c r="B53" s="17"/>
      <c r="C53" s="22"/>
      <c r="D53" s="23"/>
      <c r="E53" s="24" t="n">
        <v>1</v>
      </c>
      <c r="F53" s="23"/>
      <c r="G53" s="23"/>
      <c r="H53" s="23"/>
      <c r="I53" s="23"/>
      <c r="J53" s="25" t="n">
        <f aca="false">IFERROR(INDEX(Precios!$C$2:$D$25,MATCH($D53,Precios!$A$2:$A$25,0),IF($F53="Transferencia",2,1)),0)</f>
        <v>0</v>
      </c>
      <c r="K53" s="25" t="n">
        <f aca="false">E53*J53</f>
        <v>0</v>
      </c>
    </row>
    <row r="54" customFormat="false" ht="15" hidden="false" customHeight="true" outlineLevel="0" collapsed="false">
      <c r="A54" s="21" t="str">
        <f aca="false">IF($D54="","",ROW()-1)</f>
        <v/>
      </c>
      <c r="B54" s="17"/>
      <c r="C54" s="22"/>
      <c r="D54" s="23"/>
      <c r="E54" s="24" t="n">
        <v>1</v>
      </c>
      <c r="F54" s="23"/>
      <c r="G54" s="23"/>
      <c r="H54" s="23"/>
      <c r="I54" s="23"/>
      <c r="J54" s="25" t="n">
        <f aca="false">IFERROR(INDEX(Precios!$C$2:$D$25,MATCH($D54,Precios!$A$2:$A$25,0),IF($F54="Transferencia",2,1)),0)</f>
        <v>0</v>
      </c>
      <c r="K54" s="25" t="n">
        <f aca="false">E54*J54</f>
        <v>0</v>
      </c>
    </row>
    <row r="55" customFormat="false" ht="15" hidden="false" customHeight="true" outlineLevel="0" collapsed="false">
      <c r="A55" s="21" t="str">
        <f aca="false">IF($D55="","",ROW()-1)</f>
        <v/>
      </c>
      <c r="B55" s="17"/>
      <c r="C55" s="22"/>
      <c r="D55" s="23"/>
      <c r="E55" s="24" t="n">
        <v>1</v>
      </c>
      <c r="F55" s="23"/>
      <c r="G55" s="23"/>
      <c r="H55" s="23"/>
      <c r="I55" s="23"/>
      <c r="J55" s="25" t="n">
        <f aca="false">IFERROR(INDEX(Precios!$C$2:$D$25,MATCH($D55,Precios!$A$2:$A$25,0),IF($F55="Transferencia",2,1)),0)</f>
        <v>0</v>
      </c>
      <c r="K55" s="25" t="n">
        <f aca="false">E55*J55</f>
        <v>0</v>
      </c>
    </row>
    <row r="56" customFormat="false" ht="15" hidden="false" customHeight="true" outlineLevel="0" collapsed="false">
      <c r="A56" s="21" t="str">
        <f aca="false">IF($D56="","",ROW()-1)</f>
        <v/>
      </c>
      <c r="B56" s="17"/>
      <c r="C56" s="22"/>
      <c r="D56" s="23"/>
      <c r="E56" s="24" t="n">
        <v>1</v>
      </c>
      <c r="F56" s="23"/>
      <c r="G56" s="23"/>
      <c r="H56" s="23"/>
      <c r="I56" s="23"/>
      <c r="J56" s="25" t="n">
        <f aca="false">IFERROR(INDEX(Precios!$C$2:$D$25,MATCH($D56,Precios!$A$2:$A$25,0),IF($F56="Transferencia",2,1)),0)</f>
        <v>0</v>
      </c>
      <c r="K56" s="25" t="n">
        <f aca="false">E56*J56</f>
        <v>0</v>
      </c>
    </row>
    <row r="57" customFormat="false" ht="15" hidden="false" customHeight="true" outlineLevel="0" collapsed="false">
      <c r="A57" s="21" t="str">
        <f aca="false">IF($D57="","",ROW()-1)</f>
        <v/>
      </c>
      <c r="B57" s="17"/>
      <c r="C57" s="22"/>
      <c r="D57" s="23"/>
      <c r="E57" s="24" t="n">
        <v>1</v>
      </c>
      <c r="F57" s="23"/>
      <c r="G57" s="23"/>
      <c r="H57" s="23"/>
      <c r="I57" s="23"/>
      <c r="J57" s="25" t="n">
        <f aca="false">IFERROR(INDEX(Precios!$C$2:$D$25,MATCH($D57,Precios!$A$2:$A$25,0),IF($F57="Transferencia",2,1)),0)</f>
        <v>0</v>
      </c>
      <c r="K57" s="25" t="n">
        <f aca="false">E57*J57</f>
        <v>0</v>
      </c>
    </row>
    <row r="58" customFormat="false" ht="15" hidden="false" customHeight="true" outlineLevel="0" collapsed="false">
      <c r="A58" s="21" t="str">
        <f aca="false">IF($D58="","",ROW()-1)</f>
        <v/>
      </c>
      <c r="B58" s="17"/>
      <c r="C58" s="22"/>
      <c r="D58" s="23"/>
      <c r="E58" s="24" t="n">
        <v>1</v>
      </c>
      <c r="F58" s="23"/>
      <c r="G58" s="23"/>
      <c r="H58" s="23"/>
      <c r="I58" s="23"/>
      <c r="J58" s="25" t="n">
        <f aca="false">IFERROR(INDEX(Precios!$C$2:$D$25,MATCH($D58,Precios!$A$2:$A$25,0),IF($F58="Transferencia",2,1)),0)</f>
        <v>0</v>
      </c>
      <c r="K58" s="25" t="n">
        <f aca="false">E58*J58</f>
        <v>0</v>
      </c>
    </row>
    <row r="59" customFormat="false" ht="15" hidden="false" customHeight="true" outlineLevel="0" collapsed="false">
      <c r="A59" s="21" t="str">
        <f aca="false">IF($D59="","",ROW()-1)</f>
        <v/>
      </c>
      <c r="B59" s="17"/>
      <c r="C59" s="22"/>
      <c r="D59" s="23"/>
      <c r="E59" s="24" t="n">
        <v>1</v>
      </c>
      <c r="F59" s="23"/>
      <c r="G59" s="23"/>
      <c r="H59" s="23"/>
      <c r="I59" s="23"/>
      <c r="J59" s="25" t="n">
        <f aca="false">IFERROR(INDEX(Precios!$C$2:$D$25,MATCH($D59,Precios!$A$2:$A$25,0),IF($F59="Transferencia",2,1)),0)</f>
        <v>0</v>
      </c>
      <c r="K59" s="25" t="n">
        <f aca="false">E59*J59</f>
        <v>0</v>
      </c>
    </row>
    <row r="60" customFormat="false" ht="15" hidden="false" customHeight="true" outlineLevel="0" collapsed="false">
      <c r="A60" s="21" t="str">
        <f aca="false">IF($D60="","",ROW()-1)</f>
        <v/>
      </c>
      <c r="B60" s="17"/>
      <c r="C60" s="22"/>
      <c r="D60" s="23"/>
      <c r="E60" s="24" t="n">
        <v>1</v>
      </c>
      <c r="F60" s="23"/>
      <c r="G60" s="23"/>
      <c r="H60" s="23"/>
      <c r="I60" s="23"/>
      <c r="J60" s="25" t="n">
        <f aca="false">IFERROR(INDEX(Precios!$C$2:$D$25,MATCH($D60,Precios!$A$2:$A$25,0),IF($F60="Transferencia",2,1)),0)</f>
        <v>0</v>
      </c>
      <c r="K60" s="25" t="n">
        <f aca="false">E60*J60</f>
        <v>0</v>
      </c>
    </row>
    <row r="61" customFormat="false" ht="15" hidden="false" customHeight="true" outlineLevel="0" collapsed="false">
      <c r="A61" s="21" t="str">
        <f aca="false">IF($D61="","",ROW()-1)</f>
        <v/>
      </c>
      <c r="B61" s="17"/>
      <c r="C61" s="22"/>
      <c r="D61" s="23"/>
      <c r="E61" s="24" t="n">
        <v>1</v>
      </c>
      <c r="F61" s="23"/>
      <c r="G61" s="23"/>
      <c r="H61" s="23"/>
      <c r="I61" s="23"/>
      <c r="J61" s="25" t="n">
        <f aca="false">IFERROR(INDEX(Precios!$C$2:$D$25,MATCH($D61,Precios!$A$2:$A$25,0),IF($F61="Transferencia",2,1)),0)</f>
        <v>0</v>
      </c>
      <c r="K61" s="25" t="n">
        <f aca="false">E61*J61</f>
        <v>0</v>
      </c>
    </row>
    <row r="62" customFormat="false" ht="15" hidden="false" customHeight="true" outlineLevel="0" collapsed="false">
      <c r="A62" s="21" t="str">
        <f aca="false">IF($D62="","",ROW()-1)</f>
        <v/>
      </c>
      <c r="B62" s="17"/>
      <c r="C62" s="22"/>
      <c r="D62" s="23"/>
      <c r="E62" s="24" t="n">
        <v>1</v>
      </c>
      <c r="F62" s="23"/>
      <c r="G62" s="23"/>
      <c r="H62" s="23"/>
      <c r="I62" s="23"/>
      <c r="J62" s="25" t="n">
        <f aca="false">IFERROR(INDEX(Precios!$C$2:$D$25,MATCH($D62,Precios!$A$2:$A$25,0),IF($F62="Transferencia",2,1)),0)</f>
        <v>0</v>
      </c>
      <c r="K62" s="25" t="n">
        <f aca="false">E62*J62</f>
        <v>0</v>
      </c>
    </row>
    <row r="63" customFormat="false" ht="15" hidden="false" customHeight="true" outlineLevel="0" collapsed="false">
      <c r="A63" s="21" t="str">
        <f aca="false">IF($D63="","",ROW()-1)</f>
        <v/>
      </c>
      <c r="B63" s="17"/>
      <c r="C63" s="22"/>
      <c r="D63" s="23"/>
      <c r="E63" s="24" t="n">
        <v>1</v>
      </c>
      <c r="F63" s="23"/>
      <c r="G63" s="23"/>
      <c r="H63" s="23"/>
      <c r="I63" s="23"/>
      <c r="J63" s="25" t="n">
        <f aca="false">IFERROR(INDEX(Precios!$C$2:$D$25,MATCH($D63,Precios!$A$2:$A$25,0),IF($F63="Transferencia",2,1)),0)</f>
        <v>0</v>
      </c>
      <c r="K63" s="25" t="n">
        <f aca="false">E63*J63</f>
        <v>0</v>
      </c>
    </row>
    <row r="64" customFormat="false" ht="15" hidden="false" customHeight="true" outlineLevel="0" collapsed="false">
      <c r="A64" s="21" t="str">
        <f aca="false">IF($D64="","",ROW()-1)</f>
        <v/>
      </c>
      <c r="B64" s="17"/>
      <c r="C64" s="22"/>
      <c r="D64" s="23"/>
      <c r="E64" s="24" t="n">
        <v>1</v>
      </c>
      <c r="F64" s="23"/>
      <c r="G64" s="23"/>
      <c r="H64" s="23"/>
      <c r="I64" s="23"/>
      <c r="J64" s="25" t="n">
        <f aca="false">IFERROR(INDEX(Precios!$C$2:$D$25,MATCH($D64,Precios!$A$2:$A$25,0),IF($F64="Transferencia",2,1)),0)</f>
        <v>0</v>
      </c>
      <c r="K64" s="25" t="n">
        <f aca="false">E64*J64</f>
        <v>0</v>
      </c>
    </row>
    <row r="65" customFormat="false" ht="15" hidden="false" customHeight="true" outlineLevel="0" collapsed="false">
      <c r="A65" s="21" t="str">
        <f aca="false">IF($D65="","",ROW()-1)</f>
        <v/>
      </c>
      <c r="B65" s="17"/>
      <c r="C65" s="22"/>
      <c r="D65" s="23"/>
      <c r="E65" s="24" t="n">
        <v>1</v>
      </c>
      <c r="F65" s="23"/>
      <c r="G65" s="23"/>
      <c r="H65" s="23"/>
      <c r="I65" s="23"/>
      <c r="J65" s="25" t="n">
        <f aca="false">IFERROR(INDEX(Precios!$C$2:$D$25,MATCH($D65,Precios!$A$2:$A$25,0),IF($F65="Transferencia",2,1)),0)</f>
        <v>0</v>
      </c>
      <c r="K65" s="25" t="n">
        <f aca="false">E65*J65</f>
        <v>0</v>
      </c>
    </row>
    <row r="66" customFormat="false" ht="15" hidden="false" customHeight="true" outlineLevel="0" collapsed="false">
      <c r="A66" s="21" t="str">
        <f aca="false">IF($D66="","",ROW()-1)</f>
        <v/>
      </c>
      <c r="B66" s="17"/>
      <c r="C66" s="22"/>
      <c r="D66" s="23"/>
      <c r="E66" s="24" t="n">
        <v>1</v>
      </c>
      <c r="F66" s="23"/>
      <c r="G66" s="23"/>
      <c r="H66" s="23"/>
      <c r="I66" s="23"/>
      <c r="J66" s="25" t="n">
        <f aca="false">IFERROR(INDEX(Precios!$C$2:$D$25,MATCH($D66,Precios!$A$2:$A$25,0),IF($F66="Transferencia",2,1)),0)</f>
        <v>0</v>
      </c>
      <c r="K66" s="25" t="n">
        <f aca="false">E66*J66</f>
        <v>0</v>
      </c>
    </row>
    <row r="67" customFormat="false" ht="15" hidden="false" customHeight="true" outlineLevel="0" collapsed="false">
      <c r="A67" s="21" t="str">
        <f aca="false">IF($D67="","",ROW()-1)</f>
        <v/>
      </c>
      <c r="B67" s="17"/>
      <c r="C67" s="22"/>
      <c r="D67" s="23"/>
      <c r="E67" s="24" t="n">
        <v>1</v>
      </c>
      <c r="F67" s="23"/>
      <c r="G67" s="23"/>
      <c r="H67" s="23"/>
      <c r="I67" s="23"/>
      <c r="J67" s="25" t="n">
        <f aca="false">IFERROR(INDEX(Precios!$C$2:$D$25,MATCH($D67,Precios!$A$2:$A$25,0),IF($F67="Transferencia",2,1)),0)</f>
        <v>0</v>
      </c>
      <c r="K67" s="25" t="n">
        <f aca="false">E67*J67</f>
        <v>0</v>
      </c>
    </row>
    <row r="68" customFormat="false" ht="15" hidden="false" customHeight="true" outlineLevel="0" collapsed="false">
      <c r="A68" s="21" t="str">
        <f aca="false">IF($D68="","",ROW()-1)</f>
        <v/>
      </c>
      <c r="B68" s="17"/>
      <c r="C68" s="22"/>
      <c r="D68" s="23"/>
      <c r="E68" s="24" t="n">
        <v>1</v>
      </c>
      <c r="F68" s="23"/>
      <c r="G68" s="23"/>
      <c r="H68" s="23"/>
      <c r="I68" s="23"/>
      <c r="J68" s="25" t="n">
        <f aca="false">IFERROR(INDEX(Precios!$C$2:$D$25,MATCH($D68,Precios!$A$2:$A$25,0),IF($F68="Transferencia",2,1)),0)</f>
        <v>0</v>
      </c>
      <c r="K68" s="25" t="n">
        <f aca="false">E68*J68</f>
        <v>0</v>
      </c>
    </row>
    <row r="69" customFormat="false" ht="15" hidden="false" customHeight="true" outlineLevel="0" collapsed="false">
      <c r="A69" s="21" t="str">
        <f aca="false">IF($D69="","",ROW()-1)</f>
        <v/>
      </c>
      <c r="B69" s="17"/>
      <c r="C69" s="22"/>
      <c r="D69" s="23"/>
      <c r="E69" s="24" t="n">
        <v>1</v>
      </c>
      <c r="F69" s="23"/>
      <c r="G69" s="23"/>
      <c r="H69" s="23"/>
      <c r="I69" s="23"/>
      <c r="J69" s="25" t="n">
        <f aca="false">IFERROR(INDEX(Precios!$C$2:$D$25,MATCH($D69,Precios!$A$2:$A$25,0),IF($F69="Transferencia",2,1)),0)</f>
        <v>0</v>
      </c>
      <c r="K69" s="25" t="n">
        <f aca="false">E69*J69</f>
        <v>0</v>
      </c>
    </row>
    <row r="70" customFormat="false" ht="15" hidden="false" customHeight="true" outlineLevel="0" collapsed="false">
      <c r="A70" s="21" t="str">
        <f aca="false">IF($D70="","",ROW()-1)</f>
        <v/>
      </c>
      <c r="B70" s="17"/>
      <c r="C70" s="22"/>
      <c r="D70" s="23"/>
      <c r="E70" s="24" t="n">
        <v>1</v>
      </c>
      <c r="F70" s="23"/>
      <c r="G70" s="23"/>
      <c r="H70" s="23"/>
      <c r="I70" s="23"/>
      <c r="J70" s="25" t="n">
        <f aca="false">IFERROR(INDEX(Precios!$C$2:$D$25,MATCH($D70,Precios!$A$2:$A$25,0),IF($F70="Transferencia",2,1)),0)</f>
        <v>0</v>
      </c>
      <c r="K70" s="25" t="n">
        <f aca="false">E70*J70</f>
        <v>0</v>
      </c>
    </row>
    <row r="71" customFormat="false" ht="15" hidden="false" customHeight="true" outlineLevel="0" collapsed="false">
      <c r="A71" s="21" t="str">
        <f aca="false">IF($D71="","",ROW()-1)</f>
        <v/>
      </c>
      <c r="B71" s="17"/>
      <c r="C71" s="22"/>
      <c r="D71" s="23"/>
      <c r="E71" s="24" t="n">
        <v>1</v>
      </c>
      <c r="F71" s="23"/>
      <c r="G71" s="23"/>
      <c r="H71" s="23"/>
      <c r="I71" s="23"/>
      <c r="J71" s="25" t="n">
        <f aca="false">IFERROR(INDEX(Precios!$C$2:$D$25,MATCH($D71,Precios!$A$2:$A$25,0),IF($F71="Transferencia",2,1)),0)</f>
        <v>0</v>
      </c>
      <c r="K71" s="25" t="n">
        <f aca="false">E71*J71</f>
        <v>0</v>
      </c>
    </row>
    <row r="72" customFormat="false" ht="15" hidden="false" customHeight="true" outlineLevel="0" collapsed="false">
      <c r="A72" s="21" t="str">
        <f aca="false">IF($D72="","",ROW()-1)</f>
        <v/>
      </c>
      <c r="B72" s="17"/>
      <c r="C72" s="22"/>
      <c r="D72" s="23"/>
      <c r="E72" s="24" t="n">
        <v>1</v>
      </c>
      <c r="F72" s="23"/>
      <c r="G72" s="23"/>
      <c r="H72" s="23"/>
      <c r="I72" s="23"/>
      <c r="J72" s="25" t="n">
        <f aca="false">IFERROR(INDEX(Precios!$C$2:$D$25,MATCH($D72,Precios!$A$2:$A$25,0),IF($F72="Transferencia",2,1)),0)</f>
        <v>0</v>
      </c>
      <c r="K72" s="25" t="n">
        <f aca="false">E72*J72</f>
        <v>0</v>
      </c>
    </row>
    <row r="73" customFormat="false" ht="15" hidden="false" customHeight="true" outlineLevel="0" collapsed="false">
      <c r="A73" s="21" t="str">
        <f aca="false">IF($D73="","",ROW()-1)</f>
        <v/>
      </c>
      <c r="B73" s="17"/>
      <c r="C73" s="22"/>
      <c r="D73" s="23"/>
      <c r="E73" s="24" t="n">
        <v>1</v>
      </c>
      <c r="F73" s="23"/>
      <c r="G73" s="23"/>
      <c r="H73" s="23"/>
      <c r="I73" s="23"/>
      <c r="J73" s="25" t="n">
        <f aca="false">IFERROR(INDEX(Precios!$C$2:$D$25,MATCH($D73,Precios!$A$2:$A$25,0),IF($F73="Transferencia",2,1)),0)</f>
        <v>0</v>
      </c>
      <c r="K73" s="25" t="n">
        <f aca="false">E73*J73</f>
        <v>0</v>
      </c>
    </row>
    <row r="74" customFormat="false" ht="15" hidden="false" customHeight="true" outlineLevel="0" collapsed="false">
      <c r="A74" s="21" t="str">
        <f aca="false">IF($D74="","",ROW()-1)</f>
        <v/>
      </c>
      <c r="B74" s="17"/>
      <c r="C74" s="22"/>
      <c r="D74" s="23"/>
      <c r="E74" s="24" t="n">
        <v>1</v>
      </c>
      <c r="F74" s="23"/>
      <c r="G74" s="23"/>
      <c r="H74" s="23"/>
      <c r="I74" s="23"/>
      <c r="J74" s="25" t="n">
        <f aca="false">IFERROR(INDEX(Precios!$C$2:$D$25,MATCH($D74,Precios!$A$2:$A$25,0),IF($F74="Transferencia",2,1)),0)</f>
        <v>0</v>
      </c>
      <c r="K74" s="25" t="n">
        <f aca="false">E74*J74</f>
        <v>0</v>
      </c>
    </row>
    <row r="75" customFormat="false" ht="15" hidden="false" customHeight="true" outlineLevel="0" collapsed="false">
      <c r="A75" s="21" t="str">
        <f aca="false">IF($D75="","",ROW()-1)</f>
        <v/>
      </c>
      <c r="B75" s="17"/>
      <c r="C75" s="22"/>
      <c r="D75" s="23"/>
      <c r="E75" s="24" t="n">
        <v>1</v>
      </c>
      <c r="F75" s="23"/>
      <c r="G75" s="23"/>
      <c r="H75" s="23"/>
      <c r="I75" s="23"/>
      <c r="J75" s="25" t="n">
        <f aca="false">IFERROR(INDEX(Precios!$C$2:$D$25,MATCH($D75,Precios!$A$2:$A$25,0),IF($F75="Transferencia",2,1)),0)</f>
        <v>0</v>
      </c>
      <c r="K75" s="25" t="n">
        <f aca="false">E75*J75</f>
        <v>0</v>
      </c>
    </row>
    <row r="76" customFormat="false" ht="15" hidden="false" customHeight="true" outlineLevel="0" collapsed="false">
      <c r="A76" s="21" t="str">
        <f aca="false">IF($D76="","",ROW()-1)</f>
        <v/>
      </c>
      <c r="B76" s="17"/>
      <c r="C76" s="22"/>
      <c r="D76" s="23"/>
      <c r="E76" s="24" t="n">
        <v>1</v>
      </c>
      <c r="F76" s="23"/>
      <c r="G76" s="23"/>
      <c r="H76" s="23"/>
      <c r="I76" s="23"/>
      <c r="J76" s="25" t="n">
        <f aca="false">IFERROR(INDEX(Precios!$C$2:$D$25,MATCH($D76,Precios!$A$2:$A$25,0),IF($F76="Transferencia",2,1)),0)</f>
        <v>0</v>
      </c>
      <c r="K76" s="25" t="n">
        <f aca="false">E76*J76</f>
        <v>0</v>
      </c>
    </row>
    <row r="77" customFormat="false" ht="15" hidden="false" customHeight="true" outlineLevel="0" collapsed="false">
      <c r="A77" s="21" t="str">
        <f aca="false">IF($D77="","",ROW()-1)</f>
        <v/>
      </c>
      <c r="B77" s="17"/>
      <c r="C77" s="22"/>
      <c r="D77" s="23"/>
      <c r="E77" s="24" t="n">
        <v>1</v>
      </c>
      <c r="F77" s="23"/>
      <c r="G77" s="23"/>
      <c r="H77" s="23"/>
      <c r="I77" s="23"/>
      <c r="J77" s="25" t="n">
        <f aca="false">IFERROR(INDEX(Precios!$C$2:$D$25,MATCH($D77,Precios!$A$2:$A$25,0),IF($F77="Transferencia",2,1)),0)</f>
        <v>0</v>
      </c>
      <c r="K77" s="25" t="n">
        <f aca="false">E77*J77</f>
        <v>0</v>
      </c>
    </row>
    <row r="78" customFormat="false" ht="15" hidden="false" customHeight="true" outlineLevel="0" collapsed="false">
      <c r="A78" s="21" t="str">
        <f aca="false">IF($D78="","",ROW()-1)</f>
        <v/>
      </c>
      <c r="B78" s="17"/>
      <c r="C78" s="22"/>
      <c r="D78" s="23"/>
      <c r="E78" s="24" t="n">
        <v>1</v>
      </c>
      <c r="F78" s="23"/>
      <c r="G78" s="23"/>
      <c r="H78" s="23"/>
      <c r="I78" s="23"/>
      <c r="J78" s="25" t="n">
        <f aca="false">IFERROR(INDEX(Precios!$C$2:$D$25,MATCH($D78,Precios!$A$2:$A$25,0),IF($F78="Transferencia",2,1)),0)</f>
        <v>0</v>
      </c>
      <c r="K78" s="25" t="n">
        <f aca="false">E78*J78</f>
        <v>0</v>
      </c>
    </row>
    <row r="79" customFormat="false" ht="15" hidden="false" customHeight="true" outlineLevel="0" collapsed="false">
      <c r="A79" s="21" t="str">
        <f aca="false">IF($D79="","",ROW()-1)</f>
        <v/>
      </c>
      <c r="B79" s="17"/>
      <c r="C79" s="22"/>
      <c r="D79" s="23"/>
      <c r="E79" s="24" t="n">
        <v>1</v>
      </c>
      <c r="F79" s="23"/>
      <c r="G79" s="23"/>
      <c r="H79" s="23"/>
      <c r="I79" s="23"/>
      <c r="J79" s="25" t="n">
        <f aca="false">IFERROR(INDEX(Precios!$C$2:$D$25,MATCH($D79,Precios!$A$2:$A$25,0),IF($F79="Transferencia",2,1)),0)</f>
        <v>0</v>
      </c>
      <c r="K79" s="25" t="n">
        <f aca="false">E79*J79</f>
        <v>0</v>
      </c>
    </row>
    <row r="80" customFormat="false" ht="15" hidden="false" customHeight="true" outlineLevel="0" collapsed="false">
      <c r="A80" s="21" t="str">
        <f aca="false">IF($D80="","",ROW()-1)</f>
        <v/>
      </c>
      <c r="B80" s="17"/>
      <c r="C80" s="22"/>
      <c r="D80" s="23"/>
      <c r="E80" s="24" t="n">
        <v>1</v>
      </c>
      <c r="F80" s="23"/>
      <c r="G80" s="23"/>
      <c r="H80" s="23"/>
      <c r="I80" s="23"/>
      <c r="J80" s="25" t="n">
        <f aca="false">IFERROR(INDEX(Precios!$C$2:$D$25,MATCH($D80,Precios!$A$2:$A$25,0),IF($F80="Transferencia",2,1)),0)</f>
        <v>0</v>
      </c>
      <c r="K80" s="25" t="n">
        <f aca="false">E80*J80</f>
        <v>0</v>
      </c>
    </row>
    <row r="81" customFormat="false" ht="15" hidden="false" customHeight="true" outlineLevel="0" collapsed="false">
      <c r="A81" s="21" t="str">
        <f aca="false">IF($D81="","",ROW()-1)</f>
        <v/>
      </c>
      <c r="B81" s="17"/>
      <c r="C81" s="22"/>
      <c r="D81" s="23"/>
      <c r="E81" s="24" t="n">
        <v>1</v>
      </c>
      <c r="F81" s="23"/>
      <c r="G81" s="23"/>
      <c r="H81" s="23"/>
      <c r="I81" s="23"/>
      <c r="J81" s="25" t="n">
        <f aca="false">IFERROR(INDEX(Precios!$C$2:$D$25,MATCH($D81,Precios!$A$2:$A$25,0),IF($F81="Transferencia",2,1)),0)</f>
        <v>0</v>
      </c>
      <c r="K81" s="25" t="n">
        <f aca="false">E81*J81</f>
        <v>0</v>
      </c>
    </row>
    <row r="82" customFormat="false" ht="15" hidden="false" customHeight="true" outlineLevel="0" collapsed="false">
      <c r="A82" s="21" t="str">
        <f aca="false">IF($D82="","",ROW()-1)</f>
        <v/>
      </c>
      <c r="B82" s="17"/>
      <c r="C82" s="22"/>
      <c r="D82" s="23"/>
      <c r="E82" s="24" t="n">
        <v>1</v>
      </c>
      <c r="F82" s="23"/>
      <c r="G82" s="23"/>
      <c r="H82" s="23"/>
      <c r="I82" s="23"/>
      <c r="J82" s="25" t="n">
        <f aca="false">IFERROR(INDEX(Precios!$C$2:$D$25,MATCH($D82,Precios!$A$2:$A$25,0),IF($F82="Transferencia",2,1)),0)</f>
        <v>0</v>
      </c>
      <c r="K82" s="25" t="n">
        <f aca="false">E82*J82</f>
        <v>0</v>
      </c>
    </row>
    <row r="83" customFormat="false" ht="15" hidden="false" customHeight="true" outlineLevel="0" collapsed="false">
      <c r="A83" s="21" t="str">
        <f aca="false">IF($D83="","",ROW()-1)</f>
        <v/>
      </c>
      <c r="B83" s="17"/>
      <c r="C83" s="22"/>
      <c r="D83" s="23"/>
      <c r="E83" s="24" t="n">
        <v>1</v>
      </c>
      <c r="F83" s="23"/>
      <c r="G83" s="23"/>
      <c r="H83" s="23"/>
      <c r="I83" s="23"/>
      <c r="J83" s="25" t="n">
        <f aca="false">IFERROR(INDEX(Precios!$C$2:$D$25,MATCH($D83,Precios!$A$2:$A$25,0),IF($F83="Transferencia",2,1)),0)</f>
        <v>0</v>
      </c>
      <c r="K83" s="25" t="n">
        <f aca="false">E83*J83</f>
        <v>0</v>
      </c>
    </row>
    <row r="84" customFormat="false" ht="15" hidden="false" customHeight="true" outlineLevel="0" collapsed="false">
      <c r="A84" s="21" t="str">
        <f aca="false">IF($D84="","",ROW()-1)</f>
        <v/>
      </c>
      <c r="B84" s="17"/>
      <c r="C84" s="22"/>
      <c r="D84" s="23"/>
      <c r="E84" s="24" t="n">
        <v>1</v>
      </c>
      <c r="F84" s="23"/>
      <c r="G84" s="23"/>
      <c r="H84" s="23"/>
      <c r="I84" s="23"/>
      <c r="J84" s="25" t="n">
        <f aca="false">IFERROR(INDEX(Precios!$C$2:$D$25,MATCH($D84,Precios!$A$2:$A$25,0),IF($F84="Transferencia",2,1)),0)</f>
        <v>0</v>
      </c>
      <c r="K84" s="25" t="n">
        <f aca="false">E84*J84</f>
        <v>0</v>
      </c>
    </row>
    <row r="85" customFormat="false" ht="15" hidden="false" customHeight="true" outlineLevel="0" collapsed="false">
      <c r="A85" s="21" t="str">
        <f aca="false">IF($D85="","",ROW()-1)</f>
        <v/>
      </c>
      <c r="B85" s="17"/>
      <c r="C85" s="22"/>
      <c r="D85" s="23"/>
      <c r="E85" s="24" t="n">
        <v>1</v>
      </c>
      <c r="F85" s="23"/>
      <c r="G85" s="23"/>
      <c r="H85" s="23"/>
      <c r="I85" s="23"/>
      <c r="J85" s="25" t="n">
        <f aca="false">IFERROR(INDEX(Precios!$C$2:$D$25,MATCH($D85,Precios!$A$2:$A$25,0),IF($F85="Transferencia",2,1)),0)</f>
        <v>0</v>
      </c>
      <c r="K85" s="25" t="n">
        <f aca="false">E85*J85</f>
        <v>0</v>
      </c>
    </row>
    <row r="86" customFormat="false" ht="15" hidden="false" customHeight="true" outlineLevel="0" collapsed="false">
      <c r="A86" s="21" t="str">
        <f aca="false">IF($D86="","",ROW()-1)</f>
        <v/>
      </c>
      <c r="B86" s="17"/>
      <c r="C86" s="22"/>
      <c r="D86" s="23"/>
      <c r="E86" s="24" t="n">
        <v>1</v>
      </c>
      <c r="F86" s="23"/>
      <c r="G86" s="23"/>
      <c r="H86" s="23"/>
      <c r="I86" s="23"/>
      <c r="J86" s="25" t="n">
        <f aca="false">IFERROR(INDEX(Precios!$C$2:$D$25,MATCH($D86,Precios!$A$2:$A$25,0),IF($F86="Transferencia",2,1)),0)</f>
        <v>0</v>
      </c>
      <c r="K86" s="25" t="n">
        <f aca="false">E86*J86</f>
        <v>0</v>
      </c>
    </row>
    <row r="87" customFormat="false" ht="15" hidden="false" customHeight="true" outlineLevel="0" collapsed="false">
      <c r="A87" s="21" t="str">
        <f aca="false">IF($D87="","",ROW()-1)</f>
        <v/>
      </c>
      <c r="B87" s="17"/>
      <c r="C87" s="22"/>
      <c r="D87" s="23"/>
      <c r="E87" s="24" t="n">
        <v>1</v>
      </c>
      <c r="F87" s="23"/>
      <c r="G87" s="23"/>
      <c r="H87" s="23"/>
      <c r="I87" s="23"/>
      <c r="J87" s="25" t="n">
        <f aca="false">IFERROR(INDEX(Precios!$C$2:$D$25,MATCH($D87,Precios!$A$2:$A$25,0),IF($F87="Transferencia",2,1)),0)</f>
        <v>0</v>
      </c>
      <c r="K87" s="25" t="n">
        <f aca="false">E87*J87</f>
        <v>0</v>
      </c>
    </row>
    <row r="88" customFormat="false" ht="15" hidden="false" customHeight="true" outlineLevel="0" collapsed="false">
      <c r="A88" s="21" t="str">
        <f aca="false">IF($D88="","",ROW()-1)</f>
        <v/>
      </c>
      <c r="B88" s="17"/>
      <c r="C88" s="22"/>
      <c r="D88" s="23"/>
      <c r="E88" s="24" t="n">
        <v>1</v>
      </c>
      <c r="F88" s="23"/>
      <c r="G88" s="23"/>
      <c r="H88" s="23"/>
      <c r="I88" s="23"/>
      <c r="J88" s="25" t="n">
        <f aca="false">IFERROR(INDEX(Precios!$C$2:$D$25,MATCH($D88,Precios!$A$2:$A$25,0),IF($F88="Transferencia",2,1)),0)</f>
        <v>0</v>
      </c>
      <c r="K88" s="25" t="n">
        <f aca="false">E88*J88</f>
        <v>0</v>
      </c>
    </row>
    <row r="89" customFormat="false" ht="15" hidden="false" customHeight="true" outlineLevel="0" collapsed="false">
      <c r="A89" s="21" t="str">
        <f aca="false">IF($D89="","",ROW()-1)</f>
        <v/>
      </c>
      <c r="B89" s="17"/>
      <c r="C89" s="22"/>
      <c r="D89" s="23"/>
      <c r="E89" s="24" t="n">
        <v>1</v>
      </c>
      <c r="F89" s="23"/>
      <c r="G89" s="23"/>
      <c r="H89" s="23"/>
      <c r="I89" s="23"/>
      <c r="J89" s="25" t="n">
        <f aca="false">IFERROR(INDEX(Precios!$C$2:$D$25,MATCH($D89,Precios!$A$2:$A$25,0),IF($F89="Transferencia",2,1)),0)</f>
        <v>0</v>
      </c>
      <c r="K89" s="25" t="n">
        <f aca="false">E89*J89</f>
        <v>0</v>
      </c>
    </row>
    <row r="90" customFormat="false" ht="15" hidden="false" customHeight="true" outlineLevel="0" collapsed="false">
      <c r="A90" s="21" t="str">
        <f aca="false">IF($D90="","",ROW()-1)</f>
        <v/>
      </c>
      <c r="B90" s="17"/>
      <c r="C90" s="22"/>
      <c r="D90" s="23"/>
      <c r="E90" s="24" t="n">
        <v>1</v>
      </c>
      <c r="F90" s="23"/>
      <c r="G90" s="23"/>
      <c r="H90" s="23"/>
      <c r="I90" s="23"/>
      <c r="J90" s="25" t="n">
        <f aca="false">IFERROR(INDEX(Precios!$C$2:$D$25,MATCH($D90,Precios!$A$2:$A$25,0),IF($F90="Transferencia",2,1)),0)</f>
        <v>0</v>
      </c>
      <c r="K90" s="25" t="n">
        <f aca="false">E90*J90</f>
        <v>0</v>
      </c>
    </row>
    <row r="91" customFormat="false" ht="15" hidden="false" customHeight="true" outlineLevel="0" collapsed="false">
      <c r="A91" s="21" t="str">
        <f aca="false">IF($D91="","",ROW()-1)</f>
        <v/>
      </c>
      <c r="B91" s="17"/>
      <c r="C91" s="22"/>
      <c r="D91" s="23"/>
      <c r="E91" s="24" t="n">
        <v>1</v>
      </c>
      <c r="F91" s="23"/>
      <c r="G91" s="23"/>
      <c r="H91" s="23"/>
      <c r="I91" s="23"/>
      <c r="J91" s="25" t="n">
        <f aca="false">IFERROR(INDEX(Precios!$C$2:$D$25,MATCH($D91,Precios!$A$2:$A$25,0),IF($F91="Transferencia",2,1)),0)</f>
        <v>0</v>
      </c>
      <c r="K91" s="25" t="n">
        <f aca="false">E91*J91</f>
        <v>0</v>
      </c>
    </row>
    <row r="92" customFormat="false" ht="15" hidden="false" customHeight="true" outlineLevel="0" collapsed="false">
      <c r="A92" s="21" t="str">
        <f aca="false">IF($D92="","",ROW()-1)</f>
        <v/>
      </c>
      <c r="B92" s="17"/>
      <c r="C92" s="22"/>
      <c r="D92" s="23"/>
      <c r="E92" s="24" t="n">
        <v>1</v>
      </c>
      <c r="F92" s="23"/>
      <c r="G92" s="23"/>
      <c r="H92" s="23"/>
      <c r="I92" s="23"/>
      <c r="J92" s="25" t="n">
        <f aca="false">IFERROR(INDEX(Precios!$C$2:$D$25,MATCH($D92,Precios!$A$2:$A$25,0),IF($F92="Transferencia",2,1)),0)</f>
        <v>0</v>
      </c>
      <c r="K92" s="25" t="n">
        <f aca="false">E92*J92</f>
        <v>0</v>
      </c>
    </row>
    <row r="93" customFormat="false" ht="15" hidden="false" customHeight="true" outlineLevel="0" collapsed="false">
      <c r="A93" s="21" t="str">
        <f aca="false">IF($D93="","",ROW()-1)</f>
        <v/>
      </c>
      <c r="B93" s="17"/>
      <c r="C93" s="22"/>
      <c r="D93" s="23"/>
      <c r="E93" s="24" t="n">
        <v>1</v>
      </c>
      <c r="F93" s="23"/>
      <c r="G93" s="23"/>
      <c r="H93" s="23"/>
      <c r="I93" s="23"/>
      <c r="J93" s="25" t="n">
        <f aca="false">IFERROR(INDEX(Precios!$C$2:$D$25,MATCH($D93,Precios!$A$2:$A$25,0),IF($F93="Transferencia",2,1)),0)</f>
        <v>0</v>
      </c>
      <c r="K93" s="25" t="n">
        <f aca="false">E93*J93</f>
        <v>0</v>
      </c>
    </row>
    <row r="94" customFormat="false" ht="15" hidden="false" customHeight="true" outlineLevel="0" collapsed="false">
      <c r="A94" s="21" t="str">
        <f aca="false">IF($D94="","",ROW()-1)</f>
        <v/>
      </c>
      <c r="B94" s="17"/>
      <c r="C94" s="22"/>
      <c r="D94" s="23"/>
      <c r="E94" s="24" t="n">
        <v>1</v>
      </c>
      <c r="F94" s="23"/>
      <c r="G94" s="23"/>
      <c r="H94" s="23"/>
      <c r="I94" s="23"/>
      <c r="J94" s="25" t="n">
        <f aca="false">IFERROR(INDEX(Precios!$C$2:$D$25,MATCH($D94,Precios!$A$2:$A$25,0),IF($F94="Transferencia",2,1)),0)</f>
        <v>0</v>
      </c>
      <c r="K94" s="25" t="n">
        <f aca="false">E94*J94</f>
        <v>0</v>
      </c>
    </row>
    <row r="95" customFormat="false" ht="15" hidden="false" customHeight="true" outlineLevel="0" collapsed="false">
      <c r="A95" s="21" t="str">
        <f aca="false">IF($D95="","",ROW()-1)</f>
        <v/>
      </c>
      <c r="B95" s="17"/>
      <c r="C95" s="22"/>
      <c r="D95" s="23"/>
      <c r="E95" s="24" t="n">
        <v>1</v>
      </c>
      <c r="F95" s="23"/>
      <c r="G95" s="23"/>
      <c r="H95" s="23"/>
      <c r="I95" s="23"/>
      <c r="J95" s="25" t="n">
        <f aca="false">IFERROR(INDEX(Precios!$C$2:$D$25,MATCH($D95,Precios!$A$2:$A$25,0),IF($F95="Transferencia",2,1)),0)</f>
        <v>0</v>
      </c>
      <c r="K95" s="25" t="n">
        <f aca="false">E95*J95</f>
        <v>0</v>
      </c>
    </row>
    <row r="96" customFormat="false" ht="15" hidden="false" customHeight="true" outlineLevel="0" collapsed="false">
      <c r="A96" s="21" t="str">
        <f aca="false">IF($D96="","",ROW()-1)</f>
        <v/>
      </c>
      <c r="B96" s="17"/>
      <c r="C96" s="22"/>
      <c r="D96" s="23"/>
      <c r="E96" s="24" t="n">
        <v>1</v>
      </c>
      <c r="F96" s="23"/>
      <c r="G96" s="23"/>
      <c r="H96" s="23"/>
      <c r="I96" s="23"/>
      <c r="J96" s="25" t="n">
        <f aca="false">IFERROR(INDEX(Precios!$C$2:$D$25,MATCH($D96,Precios!$A$2:$A$25,0),IF($F96="Transferencia",2,1)),0)</f>
        <v>0</v>
      </c>
      <c r="K96" s="25" t="n">
        <f aca="false">E96*J96</f>
        <v>0</v>
      </c>
    </row>
    <row r="97" customFormat="false" ht="15" hidden="false" customHeight="true" outlineLevel="0" collapsed="false">
      <c r="A97" s="21" t="str">
        <f aca="false">IF($D97="","",ROW()-1)</f>
        <v/>
      </c>
      <c r="B97" s="17"/>
      <c r="C97" s="22"/>
      <c r="D97" s="23"/>
      <c r="E97" s="24" t="n">
        <v>1</v>
      </c>
      <c r="F97" s="23"/>
      <c r="G97" s="23"/>
      <c r="H97" s="23"/>
      <c r="I97" s="23"/>
      <c r="J97" s="25" t="n">
        <f aca="false">IFERROR(INDEX(Precios!$C$2:$D$25,MATCH($D97,Precios!$A$2:$A$25,0),IF($F97="Transferencia",2,1)),0)</f>
        <v>0</v>
      </c>
      <c r="K97" s="25" t="n">
        <f aca="false">E97*J97</f>
        <v>0</v>
      </c>
    </row>
    <row r="98" customFormat="false" ht="15" hidden="false" customHeight="true" outlineLevel="0" collapsed="false">
      <c r="A98" s="21" t="str">
        <f aca="false">IF($D98="","",ROW()-1)</f>
        <v/>
      </c>
      <c r="B98" s="17"/>
      <c r="C98" s="22"/>
      <c r="D98" s="23"/>
      <c r="E98" s="24" t="n">
        <v>1</v>
      </c>
      <c r="F98" s="23"/>
      <c r="G98" s="23"/>
      <c r="H98" s="23"/>
      <c r="I98" s="23"/>
      <c r="J98" s="25" t="n">
        <f aca="false">IFERROR(INDEX(Precios!$C$2:$D$25,MATCH($D98,Precios!$A$2:$A$25,0),IF($F98="Transferencia",2,1)),0)</f>
        <v>0</v>
      </c>
      <c r="K98" s="25" t="n">
        <f aca="false">E98*J98</f>
        <v>0</v>
      </c>
    </row>
    <row r="99" customFormat="false" ht="15" hidden="false" customHeight="true" outlineLevel="0" collapsed="false">
      <c r="A99" s="21" t="str">
        <f aca="false">IF($D99="","",ROW()-1)</f>
        <v/>
      </c>
      <c r="B99" s="17"/>
      <c r="C99" s="22"/>
      <c r="D99" s="23"/>
      <c r="E99" s="24" t="n">
        <v>1</v>
      </c>
      <c r="F99" s="23"/>
      <c r="G99" s="23"/>
      <c r="H99" s="23"/>
      <c r="I99" s="23"/>
      <c r="J99" s="25" t="n">
        <f aca="false">IFERROR(INDEX(Precios!$C$2:$D$25,MATCH($D99,Precios!$A$2:$A$25,0),IF($F99="Transferencia",2,1)),0)</f>
        <v>0</v>
      </c>
      <c r="K99" s="25" t="n">
        <f aca="false">E99*J99</f>
        <v>0</v>
      </c>
    </row>
    <row r="100" customFormat="false" ht="15" hidden="false" customHeight="true" outlineLevel="0" collapsed="false">
      <c r="A100" s="21" t="str">
        <f aca="false">IF($D100="","",ROW()-1)</f>
        <v/>
      </c>
      <c r="B100" s="17"/>
      <c r="C100" s="22"/>
      <c r="D100" s="23"/>
      <c r="E100" s="24" t="n">
        <v>1</v>
      </c>
      <c r="F100" s="23"/>
      <c r="G100" s="23"/>
      <c r="H100" s="23"/>
      <c r="I100" s="23"/>
      <c r="J100" s="25" t="n">
        <f aca="false">IFERROR(INDEX(Precios!$C$2:$D$25,MATCH($D100,Precios!$A$2:$A$25,0),IF($F100="Transferencia",2,1)),0)</f>
        <v>0</v>
      </c>
      <c r="K100" s="25" t="n">
        <f aca="false">E100*J100</f>
        <v>0</v>
      </c>
    </row>
    <row r="101" customFormat="false" ht="15" hidden="false" customHeight="true" outlineLevel="0" collapsed="false">
      <c r="A101" s="21" t="str">
        <f aca="false">IF($D101="","",ROW()-1)</f>
        <v/>
      </c>
      <c r="B101" s="17"/>
      <c r="C101" s="22"/>
      <c r="D101" s="23"/>
      <c r="E101" s="24" t="n">
        <v>1</v>
      </c>
      <c r="F101" s="23"/>
      <c r="G101" s="23"/>
      <c r="H101" s="23"/>
      <c r="I101" s="23"/>
      <c r="J101" s="25" t="n">
        <f aca="false">IFERROR(INDEX(Precios!$C$2:$D$25,MATCH($D101,Precios!$A$2:$A$25,0),IF($F101="Transferencia",2,1)),0)</f>
        <v>0</v>
      </c>
      <c r="K101" s="25" t="n">
        <f aca="false">E101*J101</f>
        <v>0</v>
      </c>
    </row>
    <row r="102" customFormat="false" ht="15" hidden="false" customHeight="true" outlineLevel="0" collapsed="false">
      <c r="A102" s="21" t="str">
        <f aca="false">IF($D102="","",ROW()-1)</f>
        <v/>
      </c>
      <c r="B102" s="17"/>
      <c r="C102" s="22"/>
      <c r="D102" s="23"/>
      <c r="E102" s="24" t="n">
        <v>1</v>
      </c>
      <c r="F102" s="23"/>
      <c r="G102" s="23"/>
      <c r="H102" s="23"/>
      <c r="I102" s="23"/>
      <c r="J102" s="25" t="n">
        <f aca="false">IFERROR(INDEX(Precios!$C$2:$D$25,MATCH($D102,Precios!$A$2:$A$25,0),IF($F102="Transferencia",2,1)),0)</f>
        <v>0</v>
      </c>
      <c r="K102" s="25" t="n">
        <f aca="false">E102*J102</f>
        <v>0</v>
      </c>
    </row>
    <row r="103" customFormat="false" ht="15" hidden="false" customHeight="true" outlineLevel="0" collapsed="false">
      <c r="A103" s="21" t="str">
        <f aca="false">IF($D103="","",ROW()-1)</f>
        <v/>
      </c>
      <c r="B103" s="17"/>
      <c r="C103" s="22"/>
      <c r="D103" s="23"/>
      <c r="E103" s="24" t="n">
        <v>1</v>
      </c>
      <c r="F103" s="23"/>
      <c r="G103" s="23"/>
      <c r="H103" s="23"/>
      <c r="I103" s="23"/>
      <c r="J103" s="25" t="n">
        <f aca="false">IFERROR(INDEX(Precios!$C$2:$D$25,MATCH($D103,Precios!$A$2:$A$25,0),IF($F103="Transferencia",2,1)),0)</f>
        <v>0</v>
      </c>
      <c r="K103" s="25" t="n">
        <f aca="false">E103*J103</f>
        <v>0</v>
      </c>
    </row>
    <row r="104" customFormat="false" ht="15" hidden="false" customHeight="true" outlineLevel="0" collapsed="false">
      <c r="A104" s="21" t="str">
        <f aca="false">IF($D104="","",ROW()-1)</f>
        <v/>
      </c>
      <c r="B104" s="17"/>
      <c r="C104" s="22"/>
      <c r="D104" s="23"/>
      <c r="E104" s="24" t="n">
        <v>1</v>
      </c>
      <c r="F104" s="23"/>
      <c r="G104" s="23"/>
      <c r="H104" s="23"/>
      <c r="I104" s="23"/>
      <c r="J104" s="25" t="n">
        <f aca="false">IFERROR(INDEX(Precios!$C$2:$D$25,MATCH($D104,Precios!$A$2:$A$25,0),IF($F104="Transferencia",2,1)),0)</f>
        <v>0</v>
      </c>
      <c r="K104" s="25" t="n">
        <f aca="false">E104*J104</f>
        <v>0</v>
      </c>
    </row>
    <row r="105" customFormat="false" ht="15" hidden="false" customHeight="true" outlineLevel="0" collapsed="false">
      <c r="A105" s="21" t="str">
        <f aca="false">IF($D105="","",ROW()-1)</f>
        <v/>
      </c>
      <c r="B105" s="17"/>
      <c r="C105" s="22"/>
      <c r="D105" s="23"/>
      <c r="E105" s="24" t="n">
        <v>1</v>
      </c>
      <c r="F105" s="23"/>
      <c r="G105" s="23"/>
      <c r="H105" s="23"/>
      <c r="I105" s="23"/>
      <c r="J105" s="25" t="n">
        <f aca="false">IFERROR(INDEX(Precios!$C$2:$D$25,MATCH($D105,Precios!$A$2:$A$25,0),IF($F105="Transferencia",2,1)),0)</f>
        <v>0</v>
      </c>
      <c r="K105" s="25" t="n">
        <f aca="false">E105*J105</f>
        <v>0</v>
      </c>
    </row>
    <row r="106" customFormat="false" ht="15" hidden="false" customHeight="true" outlineLevel="0" collapsed="false">
      <c r="A106" s="21" t="str">
        <f aca="false">IF($D106="","",ROW()-1)</f>
        <v/>
      </c>
      <c r="B106" s="17"/>
      <c r="C106" s="22"/>
      <c r="D106" s="23"/>
      <c r="E106" s="24" t="n">
        <v>1</v>
      </c>
      <c r="F106" s="23"/>
      <c r="G106" s="23"/>
      <c r="H106" s="23"/>
      <c r="I106" s="23"/>
      <c r="J106" s="25" t="n">
        <f aca="false">IFERROR(INDEX(Precios!$C$2:$D$25,MATCH($D106,Precios!$A$2:$A$25,0),IF($F106="Transferencia",2,1)),0)</f>
        <v>0</v>
      </c>
      <c r="K106" s="25" t="n">
        <f aca="false">E106*J106</f>
        <v>0</v>
      </c>
    </row>
    <row r="107" customFormat="false" ht="15" hidden="false" customHeight="true" outlineLevel="0" collapsed="false">
      <c r="A107" s="21" t="str">
        <f aca="false">IF($D107="","",ROW()-1)</f>
        <v/>
      </c>
      <c r="B107" s="17"/>
      <c r="C107" s="22"/>
      <c r="D107" s="23"/>
      <c r="E107" s="24" t="n">
        <v>1</v>
      </c>
      <c r="F107" s="23"/>
      <c r="G107" s="23"/>
      <c r="H107" s="23"/>
      <c r="I107" s="23"/>
      <c r="J107" s="25" t="n">
        <f aca="false">IFERROR(INDEX(Precios!$C$2:$D$25,MATCH($D107,Precios!$A$2:$A$25,0),IF($F107="Transferencia",2,1)),0)</f>
        <v>0</v>
      </c>
      <c r="K107" s="25" t="n">
        <f aca="false">E107*J107</f>
        <v>0</v>
      </c>
    </row>
    <row r="108" customFormat="false" ht="15" hidden="false" customHeight="true" outlineLevel="0" collapsed="false">
      <c r="A108" s="21" t="str">
        <f aca="false">IF($D108="","",ROW()-1)</f>
        <v/>
      </c>
      <c r="B108" s="17"/>
      <c r="C108" s="22"/>
      <c r="D108" s="23"/>
      <c r="E108" s="24" t="n">
        <v>1</v>
      </c>
      <c r="F108" s="23"/>
      <c r="G108" s="23"/>
      <c r="H108" s="23"/>
      <c r="I108" s="23"/>
      <c r="J108" s="25" t="n">
        <f aca="false">IFERROR(INDEX(Precios!$C$2:$D$25,MATCH($D108,Precios!$A$2:$A$25,0),IF($F108="Transferencia",2,1)),0)</f>
        <v>0</v>
      </c>
      <c r="K108" s="25" t="n">
        <f aca="false">E108*J108</f>
        <v>0</v>
      </c>
    </row>
    <row r="109" customFormat="false" ht="15" hidden="false" customHeight="true" outlineLevel="0" collapsed="false">
      <c r="A109" s="21" t="str">
        <f aca="false">IF($D109="","",ROW()-1)</f>
        <v/>
      </c>
      <c r="B109" s="17"/>
      <c r="C109" s="22"/>
      <c r="D109" s="23"/>
      <c r="E109" s="24" t="n">
        <v>1</v>
      </c>
      <c r="F109" s="23"/>
      <c r="G109" s="23"/>
      <c r="H109" s="23"/>
      <c r="I109" s="23"/>
      <c r="J109" s="25" t="n">
        <f aca="false">IFERROR(INDEX(Precios!$C$2:$D$25,MATCH($D109,Precios!$A$2:$A$25,0),IF($F109="Transferencia",2,1)),0)</f>
        <v>0</v>
      </c>
      <c r="K109" s="25" t="n">
        <f aca="false">E109*J109</f>
        <v>0</v>
      </c>
    </row>
    <row r="110" customFormat="false" ht="15" hidden="false" customHeight="true" outlineLevel="0" collapsed="false">
      <c r="A110" s="21" t="str">
        <f aca="false">IF($D110="","",ROW()-1)</f>
        <v/>
      </c>
      <c r="B110" s="17"/>
      <c r="C110" s="22"/>
      <c r="D110" s="23"/>
      <c r="E110" s="24" t="n">
        <v>1</v>
      </c>
      <c r="F110" s="23"/>
      <c r="G110" s="23"/>
      <c r="H110" s="23"/>
      <c r="I110" s="23"/>
      <c r="J110" s="25" t="n">
        <f aca="false">IFERROR(INDEX(Precios!$C$2:$D$25,MATCH($D110,Precios!$A$2:$A$25,0),IF($F110="Transferencia",2,1)),0)</f>
        <v>0</v>
      </c>
      <c r="K110" s="25" t="n">
        <f aca="false">E110*J110</f>
        <v>0</v>
      </c>
    </row>
    <row r="111" customFormat="false" ht="15" hidden="false" customHeight="true" outlineLevel="0" collapsed="false">
      <c r="A111" s="21" t="str">
        <f aca="false">IF($D111="","",ROW()-1)</f>
        <v/>
      </c>
      <c r="B111" s="17"/>
      <c r="C111" s="22"/>
      <c r="D111" s="23"/>
      <c r="E111" s="24" t="n">
        <v>1</v>
      </c>
      <c r="F111" s="23"/>
      <c r="G111" s="23"/>
      <c r="H111" s="23"/>
      <c r="I111" s="23"/>
      <c r="J111" s="25" t="n">
        <f aca="false">IFERROR(INDEX(Precios!$C$2:$D$25,MATCH($D111,Precios!$A$2:$A$25,0),IF($F111="Transferencia",2,1)),0)</f>
        <v>0</v>
      </c>
      <c r="K111" s="25" t="n">
        <f aca="false">E111*J111</f>
        <v>0</v>
      </c>
    </row>
    <row r="112" customFormat="false" ht="15" hidden="false" customHeight="true" outlineLevel="0" collapsed="false">
      <c r="A112" s="21" t="str">
        <f aca="false">IF($D112="","",ROW()-1)</f>
        <v/>
      </c>
      <c r="B112" s="17"/>
      <c r="C112" s="22"/>
      <c r="D112" s="23"/>
      <c r="E112" s="24" t="n">
        <v>1</v>
      </c>
      <c r="F112" s="23"/>
      <c r="G112" s="23"/>
      <c r="H112" s="23"/>
      <c r="I112" s="23"/>
      <c r="J112" s="25" t="n">
        <f aca="false">IFERROR(INDEX(Precios!$C$2:$D$25,MATCH($D112,Precios!$A$2:$A$25,0),IF($F112="Transferencia",2,1)),0)</f>
        <v>0</v>
      </c>
      <c r="K112" s="25" t="n">
        <f aca="false">E112*J112</f>
        <v>0</v>
      </c>
    </row>
    <row r="113" customFormat="false" ht="15" hidden="false" customHeight="true" outlineLevel="0" collapsed="false">
      <c r="A113" s="21" t="str">
        <f aca="false">IF($D113="","",ROW()-1)</f>
        <v/>
      </c>
      <c r="B113" s="17"/>
      <c r="C113" s="22"/>
      <c r="D113" s="23"/>
      <c r="E113" s="24" t="n">
        <v>1</v>
      </c>
      <c r="F113" s="23"/>
      <c r="G113" s="23"/>
      <c r="H113" s="23"/>
      <c r="I113" s="23"/>
      <c r="J113" s="25" t="n">
        <f aca="false">IFERROR(INDEX(Precios!$C$2:$D$25,MATCH($D113,Precios!$A$2:$A$25,0),IF($F113="Transferencia",2,1)),0)</f>
        <v>0</v>
      </c>
      <c r="K113" s="25" t="n">
        <f aca="false">E113*J113</f>
        <v>0</v>
      </c>
    </row>
    <row r="114" customFormat="false" ht="15" hidden="false" customHeight="true" outlineLevel="0" collapsed="false">
      <c r="A114" s="21" t="str">
        <f aca="false">IF($D114="","",ROW()-1)</f>
        <v/>
      </c>
      <c r="B114" s="17"/>
      <c r="C114" s="22"/>
      <c r="D114" s="23"/>
      <c r="E114" s="24" t="n">
        <v>1</v>
      </c>
      <c r="F114" s="23"/>
      <c r="G114" s="23"/>
      <c r="H114" s="23"/>
      <c r="I114" s="23"/>
      <c r="J114" s="25" t="n">
        <f aca="false">IFERROR(INDEX(Precios!$C$2:$D$25,MATCH($D114,Precios!$A$2:$A$25,0),IF($F114="Transferencia",2,1)),0)</f>
        <v>0</v>
      </c>
      <c r="K114" s="25" t="n">
        <f aca="false">E114*J114</f>
        <v>0</v>
      </c>
    </row>
    <row r="115" customFormat="false" ht="15" hidden="false" customHeight="true" outlineLevel="0" collapsed="false">
      <c r="A115" s="21" t="str">
        <f aca="false">IF($D115="","",ROW()-1)</f>
        <v/>
      </c>
      <c r="B115" s="17"/>
      <c r="C115" s="22"/>
      <c r="D115" s="23"/>
      <c r="E115" s="24" t="n">
        <v>1</v>
      </c>
      <c r="F115" s="23"/>
      <c r="G115" s="23"/>
      <c r="H115" s="23"/>
      <c r="I115" s="23"/>
      <c r="J115" s="25" t="n">
        <f aca="false">IFERROR(INDEX(Precios!$C$2:$D$25,MATCH($D115,Precios!$A$2:$A$25,0),IF($F115="Transferencia",2,1)),0)</f>
        <v>0</v>
      </c>
      <c r="K115" s="25" t="n">
        <f aca="false">E115*J115</f>
        <v>0</v>
      </c>
    </row>
    <row r="116" customFormat="false" ht="15" hidden="false" customHeight="true" outlineLevel="0" collapsed="false">
      <c r="A116" s="21" t="str">
        <f aca="false">IF($D116="","",ROW()-1)</f>
        <v/>
      </c>
      <c r="B116" s="17"/>
      <c r="C116" s="22"/>
      <c r="D116" s="23"/>
      <c r="E116" s="24" t="n">
        <v>1</v>
      </c>
      <c r="F116" s="23"/>
      <c r="G116" s="23"/>
      <c r="H116" s="23"/>
      <c r="I116" s="23"/>
      <c r="J116" s="25" t="n">
        <f aca="false">IFERROR(INDEX(Precios!$C$2:$D$25,MATCH($D116,Precios!$A$2:$A$25,0),IF($F116="Transferencia",2,1)),0)</f>
        <v>0</v>
      </c>
      <c r="K116" s="25" t="n">
        <f aca="false">E116*J116</f>
        <v>0</v>
      </c>
    </row>
    <row r="117" customFormat="false" ht="15" hidden="false" customHeight="true" outlineLevel="0" collapsed="false">
      <c r="A117" s="21" t="str">
        <f aca="false">IF($D117="","",ROW()-1)</f>
        <v/>
      </c>
      <c r="B117" s="17"/>
      <c r="C117" s="22"/>
      <c r="D117" s="23"/>
      <c r="E117" s="24" t="n">
        <v>1</v>
      </c>
      <c r="F117" s="23"/>
      <c r="G117" s="23"/>
      <c r="H117" s="23"/>
      <c r="I117" s="23"/>
      <c r="J117" s="25" t="n">
        <f aca="false">IFERROR(INDEX(Precios!$C$2:$D$25,MATCH($D117,Precios!$A$2:$A$25,0),IF($F117="Transferencia",2,1)),0)</f>
        <v>0</v>
      </c>
      <c r="K117" s="25" t="n">
        <f aca="false">E117*J117</f>
        <v>0</v>
      </c>
    </row>
    <row r="118" customFormat="false" ht="15" hidden="false" customHeight="true" outlineLevel="0" collapsed="false">
      <c r="A118" s="21" t="str">
        <f aca="false">IF($D118="","",ROW()-1)</f>
        <v/>
      </c>
      <c r="B118" s="17"/>
      <c r="C118" s="22"/>
      <c r="D118" s="23"/>
      <c r="E118" s="24" t="n">
        <v>1</v>
      </c>
      <c r="F118" s="23"/>
      <c r="G118" s="23"/>
      <c r="H118" s="23"/>
      <c r="I118" s="23"/>
      <c r="J118" s="25" t="n">
        <f aca="false">IFERROR(INDEX(Precios!$C$2:$D$25,MATCH($D118,Precios!$A$2:$A$25,0),IF($F118="Transferencia",2,1)),0)</f>
        <v>0</v>
      </c>
      <c r="K118" s="25" t="n">
        <f aca="false">E118*J118</f>
        <v>0</v>
      </c>
    </row>
    <row r="119" customFormat="false" ht="15" hidden="false" customHeight="true" outlineLevel="0" collapsed="false">
      <c r="A119" s="21" t="str">
        <f aca="false">IF($D119="","",ROW()-1)</f>
        <v/>
      </c>
      <c r="B119" s="17"/>
      <c r="C119" s="22"/>
      <c r="D119" s="23"/>
      <c r="E119" s="24" t="n">
        <v>1</v>
      </c>
      <c r="F119" s="23"/>
      <c r="G119" s="23"/>
      <c r="H119" s="23"/>
      <c r="I119" s="23"/>
      <c r="J119" s="25" t="n">
        <f aca="false">IFERROR(INDEX(Precios!$C$2:$D$25,MATCH($D119,Precios!$A$2:$A$25,0),IF($F119="Transferencia",2,1)),0)</f>
        <v>0</v>
      </c>
      <c r="K119" s="25" t="n">
        <f aca="false">E119*J119</f>
        <v>0</v>
      </c>
    </row>
    <row r="120" customFormat="false" ht="15" hidden="false" customHeight="true" outlineLevel="0" collapsed="false">
      <c r="A120" s="21" t="str">
        <f aca="false">IF($D120="","",ROW()-1)</f>
        <v/>
      </c>
      <c r="B120" s="17"/>
      <c r="C120" s="22"/>
      <c r="D120" s="23"/>
      <c r="E120" s="24" t="n">
        <v>1</v>
      </c>
      <c r="F120" s="23"/>
      <c r="G120" s="23"/>
      <c r="H120" s="23"/>
      <c r="I120" s="23"/>
      <c r="J120" s="25" t="n">
        <f aca="false">IFERROR(INDEX(Precios!$C$2:$D$25,MATCH($D120,Precios!$A$2:$A$25,0),IF($F120="Transferencia",2,1)),0)</f>
        <v>0</v>
      </c>
      <c r="K120" s="25" t="n">
        <f aca="false">E120*J120</f>
        <v>0</v>
      </c>
    </row>
    <row r="121" customFormat="false" ht="15" hidden="false" customHeight="true" outlineLevel="0" collapsed="false">
      <c r="A121" s="21" t="str">
        <f aca="false">IF($D121="","",ROW()-1)</f>
        <v/>
      </c>
      <c r="B121" s="17"/>
      <c r="C121" s="22"/>
      <c r="D121" s="23"/>
      <c r="E121" s="24" t="n">
        <v>1</v>
      </c>
      <c r="F121" s="23"/>
      <c r="G121" s="23"/>
      <c r="H121" s="23"/>
      <c r="I121" s="23"/>
      <c r="J121" s="25" t="n">
        <f aca="false">IFERROR(INDEX(Precios!$C$2:$D$25,MATCH($D121,Precios!$A$2:$A$25,0),IF($F121="Transferencia",2,1)),0)</f>
        <v>0</v>
      </c>
      <c r="K121" s="25" t="n">
        <f aca="false">E121*J121</f>
        <v>0</v>
      </c>
    </row>
    <row r="122" customFormat="false" ht="15" hidden="false" customHeight="true" outlineLevel="0" collapsed="false">
      <c r="A122" s="21" t="str">
        <f aca="false">IF($D122="","",ROW()-1)</f>
        <v/>
      </c>
      <c r="B122" s="17"/>
      <c r="C122" s="22"/>
      <c r="D122" s="23"/>
      <c r="E122" s="24" t="n">
        <v>1</v>
      </c>
      <c r="F122" s="23"/>
      <c r="G122" s="23"/>
      <c r="H122" s="23"/>
      <c r="I122" s="23"/>
      <c r="J122" s="25" t="n">
        <f aca="false">IFERROR(INDEX(Precios!$C$2:$D$25,MATCH($D122,Precios!$A$2:$A$25,0),IF($F122="Transferencia",2,1)),0)</f>
        <v>0</v>
      </c>
      <c r="K122" s="25" t="n">
        <f aca="false">E122*J122</f>
        <v>0</v>
      </c>
    </row>
    <row r="123" customFormat="false" ht="15" hidden="false" customHeight="true" outlineLevel="0" collapsed="false">
      <c r="A123" s="21" t="str">
        <f aca="false">IF($D123="","",ROW()-1)</f>
        <v/>
      </c>
      <c r="B123" s="17"/>
      <c r="C123" s="22"/>
      <c r="D123" s="23"/>
      <c r="E123" s="24" t="n">
        <v>1</v>
      </c>
      <c r="F123" s="23"/>
      <c r="G123" s="23"/>
      <c r="H123" s="23"/>
      <c r="I123" s="23"/>
      <c r="J123" s="25" t="n">
        <f aca="false">IFERROR(INDEX(Precios!$C$2:$D$25,MATCH($D123,Precios!$A$2:$A$25,0),IF($F123="Transferencia",2,1)),0)</f>
        <v>0</v>
      </c>
      <c r="K123" s="25" t="n">
        <f aca="false">E123*J123</f>
        <v>0</v>
      </c>
    </row>
    <row r="124" customFormat="false" ht="15" hidden="false" customHeight="true" outlineLevel="0" collapsed="false">
      <c r="A124" s="21" t="str">
        <f aca="false">IF($D124="","",ROW()-1)</f>
        <v/>
      </c>
      <c r="B124" s="17"/>
      <c r="C124" s="22"/>
      <c r="D124" s="23"/>
      <c r="E124" s="24" t="n">
        <v>1</v>
      </c>
      <c r="F124" s="23"/>
      <c r="G124" s="23"/>
      <c r="H124" s="23"/>
      <c r="I124" s="23"/>
      <c r="J124" s="25" t="n">
        <f aca="false">IFERROR(INDEX(Precios!$C$2:$D$25,MATCH($D124,Precios!$A$2:$A$25,0),IF($F124="Transferencia",2,1)),0)</f>
        <v>0</v>
      </c>
      <c r="K124" s="25" t="n">
        <f aca="false">E124*J124</f>
        <v>0</v>
      </c>
    </row>
    <row r="125" customFormat="false" ht="15" hidden="false" customHeight="true" outlineLevel="0" collapsed="false">
      <c r="A125" s="21" t="str">
        <f aca="false">IF($D125="","",ROW()-1)</f>
        <v/>
      </c>
      <c r="B125" s="17"/>
      <c r="C125" s="22"/>
      <c r="D125" s="23"/>
      <c r="E125" s="24" t="n">
        <v>1</v>
      </c>
      <c r="F125" s="23"/>
      <c r="G125" s="23"/>
      <c r="H125" s="23"/>
      <c r="I125" s="23"/>
      <c r="J125" s="25" t="n">
        <f aca="false">IFERROR(INDEX(Precios!$C$2:$D$25,MATCH($D125,Precios!$A$2:$A$25,0),IF($F125="Transferencia",2,1)),0)</f>
        <v>0</v>
      </c>
      <c r="K125" s="25" t="n">
        <f aca="false">E125*J125</f>
        <v>0</v>
      </c>
    </row>
    <row r="126" customFormat="false" ht="15" hidden="false" customHeight="true" outlineLevel="0" collapsed="false">
      <c r="A126" s="21" t="str">
        <f aca="false">IF($D126="","",ROW()-1)</f>
        <v/>
      </c>
      <c r="B126" s="17"/>
      <c r="C126" s="22"/>
      <c r="D126" s="23"/>
      <c r="E126" s="24" t="n">
        <v>1</v>
      </c>
      <c r="F126" s="23"/>
      <c r="G126" s="23"/>
      <c r="H126" s="23"/>
      <c r="I126" s="23"/>
      <c r="J126" s="25" t="n">
        <f aca="false">IFERROR(INDEX(Precios!$C$2:$D$25,MATCH($D126,Precios!$A$2:$A$25,0),IF($F126="Transferencia",2,1)),0)</f>
        <v>0</v>
      </c>
      <c r="K126" s="25" t="n">
        <f aca="false">E126*J126</f>
        <v>0</v>
      </c>
    </row>
    <row r="127" customFormat="false" ht="15" hidden="false" customHeight="true" outlineLevel="0" collapsed="false">
      <c r="A127" s="21" t="str">
        <f aca="false">IF($D127="","",ROW()-1)</f>
        <v/>
      </c>
      <c r="B127" s="17"/>
      <c r="C127" s="22"/>
      <c r="D127" s="23"/>
      <c r="E127" s="24" t="n">
        <v>1</v>
      </c>
      <c r="F127" s="23"/>
      <c r="G127" s="23"/>
      <c r="H127" s="23"/>
      <c r="I127" s="23"/>
      <c r="J127" s="25" t="n">
        <f aca="false">IFERROR(INDEX(Precios!$C$2:$D$25,MATCH($D127,Precios!$A$2:$A$25,0),IF($F127="Transferencia",2,1)),0)</f>
        <v>0</v>
      </c>
      <c r="K127" s="25" t="n">
        <f aca="false">E127*J127</f>
        <v>0</v>
      </c>
    </row>
    <row r="128" customFormat="false" ht="15" hidden="false" customHeight="true" outlineLevel="0" collapsed="false">
      <c r="A128" s="21" t="str">
        <f aca="false">IF($D128="","",ROW()-1)</f>
        <v/>
      </c>
      <c r="B128" s="17"/>
      <c r="C128" s="22"/>
      <c r="D128" s="23"/>
      <c r="E128" s="24" t="n">
        <v>1</v>
      </c>
      <c r="F128" s="23"/>
      <c r="G128" s="23"/>
      <c r="H128" s="23"/>
      <c r="I128" s="23"/>
      <c r="J128" s="25" t="n">
        <f aca="false">IFERROR(INDEX(Precios!$C$2:$D$25,MATCH($D128,Precios!$A$2:$A$25,0),IF($F128="Transferencia",2,1)),0)</f>
        <v>0</v>
      </c>
      <c r="K128" s="25" t="n">
        <f aca="false">E128*J128</f>
        <v>0</v>
      </c>
    </row>
    <row r="129" customFormat="false" ht="15" hidden="false" customHeight="true" outlineLevel="0" collapsed="false">
      <c r="A129" s="21" t="str">
        <f aca="false">IF($D129="","",ROW()-1)</f>
        <v/>
      </c>
      <c r="B129" s="17"/>
      <c r="C129" s="22"/>
      <c r="D129" s="23"/>
      <c r="E129" s="24" t="n">
        <v>1</v>
      </c>
      <c r="F129" s="23"/>
      <c r="G129" s="23"/>
      <c r="H129" s="23"/>
      <c r="I129" s="23"/>
      <c r="J129" s="25" t="n">
        <f aca="false">IFERROR(INDEX(Precios!$C$2:$D$25,MATCH($D129,Precios!$A$2:$A$25,0),IF($F129="Transferencia",2,1)),0)</f>
        <v>0</v>
      </c>
      <c r="K129" s="25" t="n">
        <f aca="false">E129*J129</f>
        <v>0</v>
      </c>
    </row>
    <row r="130" customFormat="false" ht="15" hidden="false" customHeight="true" outlineLevel="0" collapsed="false">
      <c r="A130" s="21" t="str">
        <f aca="false">IF($D130="","",ROW()-1)</f>
        <v/>
      </c>
      <c r="B130" s="17"/>
      <c r="C130" s="22"/>
      <c r="D130" s="23"/>
      <c r="E130" s="24" t="n">
        <v>1</v>
      </c>
      <c r="F130" s="23"/>
      <c r="G130" s="23"/>
      <c r="H130" s="23"/>
      <c r="I130" s="23"/>
      <c r="J130" s="25" t="n">
        <f aca="false">IFERROR(INDEX(Precios!$C$2:$D$25,MATCH($D130,Precios!$A$2:$A$25,0),IF($F130="Transferencia",2,1)),0)</f>
        <v>0</v>
      </c>
      <c r="K130" s="25" t="n">
        <f aca="false">E130*J130</f>
        <v>0</v>
      </c>
    </row>
    <row r="131" customFormat="false" ht="15" hidden="false" customHeight="true" outlineLevel="0" collapsed="false">
      <c r="A131" s="21" t="str">
        <f aca="false">IF($D131="","",ROW()-1)</f>
        <v/>
      </c>
      <c r="B131" s="17"/>
      <c r="C131" s="22"/>
      <c r="D131" s="23"/>
      <c r="E131" s="24" t="n">
        <v>1</v>
      </c>
      <c r="F131" s="23"/>
      <c r="G131" s="23"/>
      <c r="H131" s="23"/>
      <c r="I131" s="23"/>
      <c r="J131" s="25" t="n">
        <f aca="false">IFERROR(INDEX(Precios!$C$2:$D$25,MATCH($D131,Precios!$A$2:$A$25,0),IF($F131="Transferencia",2,1)),0)</f>
        <v>0</v>
      </c>
      <c r="K131" s="25" t="n">
        <f aca="false">E131*J131</f>
        <v>0</v>
      </c>
    </row>
    <row r="132" customFormat="false" ht="15" hidden="false" customHeight="true" outlineLevel="0" collapsed="false">
      <c r="A132" s="21" t="str">
        <f aca="false">IF($D132="","",ROW()-1)</f>
        <v/>
      </c>
      <c r="B132" s="17"/>
      <c r="C132" s="22"/>
      <c r="D132" s="23"/>
      <c r="E132" s="24" t="n">
        <v>1</v>
      </c>
      <c r="F132" s="23"/>
      <c r="G132" s="23"/>
      <c r="H132" s="23"/>
      <c r="I132" s="23"/>
      <c r="J132" s="25" t="n">
        <f aca="false">IFERROR(INDEX(Precios!$C$2:$D$25,MATCH($D132,Precios!$A$2:$A$25,0),IF($F132="Transferencia",2,1)),0)</f>
        <v>0</v>
      </c>
      <c r="K132" s="25" t="n">
        <f aca="false">E132*J132</f>
        <v>0</v>
      </c>
    </row>
    <row r="133" customFormat="false" ht="15" hidden="false" customHeight="true" outlineLevel="0" collapsed="false">
      <c r="A133" s="21" t="str">
        <f aca="false">IF($D133="","",ROW()-1)</f>
        <v/>
      </c>
      <c r="B133" s="17"/>
      <c r="C133" s="22"/>
      <c r="D133" s="23"/>
      <c r="E133" s="24" t="n">
        <v>1</v>
      </c>
      <c r="F133" s="23"/>
      <c r="G133" s="23"/>
      <c r="H133" s="23"/>
      <c r="I133" s="23"/>
      <c r="J133" s="25" t="n">
        <f aca="false">IFERROR(INDEX(Precios!$C$2:$D$25,MATCH($D133,Precios!$A$2:$A$25,0),IF($F133="Transferencia",2,1)),0)</f>
        <v>0</v>
      </c>
      <c r="K133" s="25" t="n">
        <f aca="false">E133*J133</f>
        <v>0</v>
      </c>
    </row>
    <row r="134" customFormat="false" ht="15" hidden="false" customHeight="true" outlineLevel="0" collapsed="false">
      <c r="A134" s="21" t="str">
        <f aca="false">IF($D134="","",ROW()-1)</f>
        <v/>
      </c>
      <c r="B134" s="17"/>
      <c r="C134" s="22"/>
      <c r="D134" s="23"/>
      <c r="E134" s="24" t="n">
        <v>1</v>
      </c>
      <c r="F134" s="23"/>
      <c r="G134" s="23"/>
      <c r="H134" s="23"/>
      <c r="I134" s="23"/>
      <c r="J134" s="25" t="n">
        <f aca="false">IFERROR(INDEX(Precios!$C$2:$D$25,MATCH($D134,Precios!$A$2:$A$25,0),IF($F134="Transferencia",2,1)),0)</f>
        <v>0</v>
      </c>
      <c r="K134" s="25" t="n">
        <f aca="false">E134*J134</f>
        <v>0</v>
      </c>
    </row>
    <row r="135" customFormat="false" ht="15" hidden="false" customHeight="true" outlineLevel="0" collapsed="false">
      <c r="A135" s="21" t="str">
        <f aca="false">IF($D135="","",ROW()-1)</f>
        <v/>
      </c>
      <c r="B135" s="17"/>
      <c r="C135" s="22"/>
      <c r="D135" s="23"/>
      <c r="E135" s="24" t="n">
        <v>1</v>
      </c>
      <c r="F135" s="23"/>
      <c r="G135" s="23"/>
      <c r="H135" s="23"/>
      <c r="I135" s="23"/>
      <c r="J135" s="25" t="n">
        <f aca="false">IFERROR(INDEX(Precios!$C$2:$D$25,MATCH($D135,Precios!$A$2:$A$25,0),IF($F135="Transferencia",2,1)),0)</f>
        <v>0</v>
      </c>
      <c r="K135" s="25" t="n">
        <f aca="false">E135*J135</f>
        <v>0</v>
      </c>
    </row>
    <row r="136" customFormat="false" ht="15" hidden="false" customHeight="true" outlineLevel="0" collapsed="false">
      <c r="A136" s="21" t="str">
        <f aca="false">IF($D136="","",ROW()-1)</f>
        <v/>
      </c>
      <c r="B136" s="17"/>
      <c r="C136" s="22"/>
      <c r="D136" s="23"/>
      <c r="E136" s="24" t="n">
        <v>1</v>
      </c>
      <c r="F136" s="23"/>
      <c r="G136" s="23"/>
      <c r="H136" s="23"/>
      <c r="I136" s="23"/>
      <c r="J136" s="25" t="n">
        <f aca="false">IFERROR(INDEX(Precios!$C$2:$D$25,MATCH($D136,Precios!$A$2:$A$25,0),IF($F136="Transferencia",2,1)),0)</f>
        <v>0</v>
      </c>
      <c r="K136" s="25" t="n">
        <f aca="false">E136*J136</f>
        <v>0</v>
      </c>
    </row>
    <row r="137" customFormat="false" ht="15" hidden="false" customHeight="true" outlineLevel="0" collapsed="false">
      <c r="A137" s="21" t="str">
        <f aca="false">IF($D137="","",ROW()-1)</f>
        <v/>
      </c>
      <c r="B137" s="17"/>
      <c r="C137" s="22"/>
      <c r="D137" s="23"/>
      <c r="E137" s="24" t="n">
        <v>1</v>
      </c>
      <c r="F137" s="23"/>
      <c r="G137" s="23"/>
      <c r="H137" s="23"/>
      <c r="I137" s="23"/>
      <c r="J137" s="25" t="n">
        <f aca="false">IFERROR(INDEX(Precios!$C$2:$D$25,MATCH($D137,Precios!$A$2:$A$25,0),IF($F137="Transferencia",2,1)),0)</f>
        <v>0</v>
      </c>
      <c r="K137" s="25" t="n">
        <f aca="false">E137*J137</f>
        <v>0</v>
      </c>
    </row>
    <row r="138" customFormat="false" ht="15" hidden="false" customHeight="true" outlineLevel="0" collapsed="false">
      <c r="A138" s="21" t="str">
        <f aca="false">IF($D138="","",ROW()-1)</f>
        <v/>
      </c>
      <c r="B138" s="17"/>
      <c r="C138" s="22"/>
      <c r="D138" s="23"/>
      <c r="E138" s="24" t="n">
        <v>1</v>
      </c>
      <c r="F138" s="23"/>
      <c r="G138" s="23"/>
      <c r="H138" s="23"/>
      <c r="I138" s="23"/>
      <c r="J138" s="25" t="n">
        <f aca="false">IFERROR(INDEX(Precios!$C$2:$D$25,MATCH($D138,Precios!$A$2:$A$25,0),IF($F138="Transferencia",2,1)),0)</f>
        <v>0</v>
      </c>
      <c r="K138" s="25" t="n">
        <f aca="false">E138*J138</f>
        <v>0</v>
      </c>
    </row>
    <row r="139" customFormat="false" ht="15" hidden="false" customHeight="true" outlineLevel="0" collapsed="false">
      <c r="A139" s="21" t="str">
        <f aca="false">IF($D139="","",ROW()-1)</f>
        <v/>
      </c>
      <c r="B139" s="17"/>
      <c r="C139" s="22"/>
      <c r="D139" s="23"/>
      <c r="E139" s="24" t="n">
        <v>1</v>
      </c>
      <c r="F139" s="23"/>
      <c r="G139" s="23"/>
      <c r="H139" s="23"/>
      <c r="I139" s="23"/>
      <c r="J139" s="25" t="n">
        <f aca="false">IFERROR(INDEX(Precios!$C$2:$D$25,MATCH($D139,Precios!$A$2:$A$25,0),IF($F139="Transferencia",2,1)),0)</f>
        <v>0</v>
      </c>
      <c r="K139" s="25" t="n">
        <f aca="false">E139*J139</f>
        <v>0</v>
      </c>
    </row>
    <row r="140" customFormat="false" ht="15" hidden="false" customHeight="true" outlineLevel="0" collapsed="false">
      <c r="A140" s="21" t="str">
        <f aca="false">IF($D140="","",ROW()-1)</f>
        <v/>
      </c>
      <c r="B140" s="17"/>
      <c r="C140" s="22"/>
      <c r="D140" s="23"/>
      <c r="E140" s="24" t="n">
        <v>1</v>
      </c>
      <c r="F140" s="23"/>
      <c r="G140" s="23"/>
      <c r="H140" s="23"/>
      <c r="I140" s="23"/>
      <c r="J140" s="25" t="n">
        <f aca="false">IFERROR(INDEX(Precios!$C$2:$D$25,MATCH($D140,Precios!$A$2:$A$25,0),IF($F140="Transferencia",2,1)),0)</f>
        <v>0</v>
      </c>
      <c r="K140" s="25" t="n">
        <f aca="false">E140*J140</f>
        <v>0</v>
      </c>
    </row>
    <row r="141" customFormat="false" ht="15" hidden="false" customHeight="true" outlineLevel="0" collapsed="false">
      <c r="A141" s="21" t="str">
        <f aca="false">IF($D141="","",ROW()-1)</f>
        <v/>
      </c>
      <c r="B141" s="17"/>
      <c r="C141" s="22"/>
      <c r="D141" s="23"/>
      <c r="E141" s="24" t="n">
        <v>1</v>
      </c>
      <c r="F141" s="23"/>
      <c r="G141" s="23"/>
      <c r="H141" s="23"/>
      <c r="I141" s="23"/>
      <c r="J141" s="25" t="n">
        <f aca="false">IFERROR(INDEX(Precios!$C$2:$D$25,MATCH($D141,Precios!$A$2:$A$25,0),IF($F141="Transferencia",2,1)),0)</f>
        <v>0</v>
      </c>
      <c r="K141" s="25" t="n">
        <f aca="false">E141*J141</f>
        <v>0</v>
      </c>
    </row>
    <row r="142" customFormat="false" ht="15" hidden="false" customHeight="true" outlineLevel="0" collapsed="false">
      <c r="A142" s="21" t="str">
        <f aca="false">IF($D142="","",ROW()-1)</f>
        <v/>
      </c>
      <c r="B142" s="17"/>
      <c r="C142" s="22"/>
      <c r="D142" s="23"/>
      <c r="E142" s="24" t="n">
        <v>1</v>
      </c>
      <c r="F142" s="23"/>
      <c r="G142" s="23"/>
      <c r="H142" s="23"/>
      <c r="I142" s="23"/>
      <c r="J142" s="25" t="n">
        <f aca="false">IFERROR(INDEX(Precios!$C$2:$D$25,MATCH($D142,Precios!$A$2:$A$25,0),IF($F142="Transferencia",2,1)),0)</f>
        <v>0</v>
      </c>
      <c r="K142" s="25" t="n">
        <f aca="false">E142*J142</f>
        <v>0</v>
      </c>
    </row>
    <row r="143" customFormat="false" ht="15" hidden="false" customHeight="true" outlineLevel="0" collapsed="false">
      <c r="A143" s="21" t="str">
        <f aca="false">IF($D143="","",ROW()-1)</f>
        <v/>
      </c>
      <c r="B143" s="17"/>
      <c r="C143" s="22"/>
      <c r="D143" s="23"/>
      <c r="E143" s="24" t="n">
        <v>1</v>
      </c>
      <c r="F143" s="23"/>
      <c r="G143" s="23"/>
      <c r="H143" s="23"/>
      <c r="I143" s="23"/>
      <c r="J143" s="25" t="n">
        <f aca="false">IFERROR(INDEX(Precios!$C$2:$D$25,MATCH($D143,Precios!$A$2:$A$25,0),IF($F143="Transferencia",2,1)),0)</f>
        <v>0</v>
      </c>
      <c r="K143" s="25" t="n">
        <f aca="false">E143*J143</f>
        <v>0</v>
      </c>
    </row>
    <row r="144" customFormat="false" ht="15" hidden="false" customHeight="true" outlineLevel="0" collapsed="false">
      <c r="A144" s="21" t="str">
        <f aca="false">IF($D144="","",ROW()-1)</f>
        <v/>
      </c>
      <c r="B144" s="17"/>
      <c r="C144" s="22"/>
      <c r="D144" s="23"/>
      <c r="E144" s="24" t="n">
        <v>1</v>
      </c>
      <c r="F144" s="23"/>
      <c r="G144" s="23"/>
      <c r="H144" s="23"/>
      <c r="I144" s="23"/>
      <c r="J144" s="25" t="n">
        <f aca="false">IFERROR(INDEX(Precios!$C$2:$D$25,MATCH($D144,Precios!$A$2:$A$25,0),IF($F144="Transferencia",2,1)),0)</f>
        <v>0</v>
      </c>
      <c r="K144" s="25" t="n">
        <f aca="false">E144*J144</f>
        <v>0</v>
      </c>
    </row>
    <row r="145" customFormat="false" ht="15" hidden="false" customHeight="true" outlineLevel="0" collapsed="false">
      <c r="A145" s="21" t="str">
        <f aca="false">IF($D145="","",ROW()-1)</f>
        <v/>
      </c>
      <c r="B145" s="17"/>
      <c r="C145" s="22"/>
      <c r="D145" s="23"/>
      <c r="E145" s="24" t="n">
        <v>1</v>
      </c>
      <c r="F145" s="23"/>
      <c r="G145" s="23"/>
      <c r="H145" s="23"/>
      <c r="I145" s="23"/>
      <c r="J145" s="25" t="n">
        <f aca="false">IFERROR(INDEX(Precios!$C$2:$D$25,MATCH($D145,Precios!$A$2:$A$25,0),IF($F145="Transferencia",2,1)),0)</f>
        <v>0</v>
      </c>
      <c r="K145" s="25" t="n">
        <f aca="false">E145*J145</f>
        <v>0</v>
      </c>
    </row>
    <row r="146" customFormat="false" ht="15" hidden="false" customHeight="true" outlineLevel="0" collapsed="false">
      <c r="A146" s="21" t="str">
        <f aca="false">IF($D146="","",ROW()-1)</f>
        <v/>
      </c>
      <c r="B146" s="17"/>
      <c r="C146" s="22"/>
      <c r="D146" s="23"/>
      <c r="E146" s="24" t="n">
        <v>1</v>
      </c>
      <c r="F146" s="23"/>
      <c r="G146" s="23"/>
      <c r="H146" s="23"/>
      <c r="I146" s="23"/>
      <c r="J146" s="25" t="n">
        <f aca="false">IFERROR(INDEX(Precios!$C$2:$D$25,MATCH($D146,Precios!$A$2:$A$25,0),IF($F146="Transferencia",2,1)),0)</f>
        <v>0</v>
      </c>
      <c r="K146" s="25" t="n">
        <f aca="false">E146*J146</f>
        <v>0</v>
      </c>
    </row>
    <row r="147" customFormat="false" ht="15" hidden="false" customHeight="true" outlineLevel="0" collapsed="false">
      <c r="A147" s="21" t="str">
        <f aca="false">IF($D147="","",ROW()-1)</f>
        <v/>
      </c>
      <c r="B147" s="17"/>
      <c r="C147" s="22"/>
      <c r="D147" s="23"/>
      <c r="E147" s="24" t="n">
        <v>1</v>
      </c>
      <c r="F147" s="23"/>
      <c r="G147" s="23"/>
      <c r="H147" s="23"/>
      <c r="I147" s="23"/>
      <c r="J147" s="25" t="n">
        <f aca="false">IFERROR(INDEX(Precios!$C$2:$D$25,MATCH($D147,Precios!$A$2:$A$25,0),IF($F147="Transferencia",2,1)),0)</f>
        <v>0</v>
      </c>
      <c r="K147" s="25" t="n">
        <f aca="false">E147*J147</f>
        <v>0</v>
      </c>
    </row>
    <row r="148" customFormat="false" ht="15" hidden="false" customHeight="true" outlineLevel="0" collapsed="false">
      <c r="A148" s="21" t="str">
        <f aca="false">IF($D148="","",ROW()-1)</f>
        <v/>
      </c>
      <c r="B148" s="17"/>
      <c r="C148" s="22"/>
      <c r="D148" s="23"/>
      <c r="E148" s="24" t="n">
        <v>1</v>
      </c>
      <c r="F148" s="23"/>
      <c r="G148" s="23"/>
      <c r="H148" s="23"/>
      <c r="I148" s="23"/>
      <c r="J148" s="25" t="n">
        <f aca="false">IFERROR(INDEX(Precios!$C$2:$D$25,MATCH($D148,Precios!$A$2:$A$25,0),IF($F148="Transferencia",2,1)),0)</f>
        <v>0</v>
      </c>
      <c r="K148" s="25" t="n">
        <f aca="false">E148*J148</f>
        <v>0</v>
      </c>
    </row>
    <row r="149" customFormat="false" ht="15" hidden="false" customHeight="true" outlineLevel="0" collapsed="false">
      <c r="A149" s="21" t="str">
        <f aca="false">IF($D149="","",ROW()-1)</f>
        <v/>
      </c>
      <c r="B149" s="17"/>
      <c r="C149" s="22"/>
      <c r="D149" s="23"/>
      <c r="E149" s="24" t="n">
        <v>1</v>
      </c>
      <c r="F149" s="23"/>
      <c r="G149" s="23"/>
      <c r="H149" s="23"/>
      <c r="I149" s="23"/>
      <c r="J149" s="25" t="n">
        <f aca="false">IFERROR(INDEX(Precios!$C$2:$D$25,MATCH($D149,Precios!$A$2:$A$25,0),IF($F149="Transferencia",2,1)),0)</f>
        <v>0</v>
      </c>
      <c r="K149" s="25" t="n">
        <f aca="false">E149*J149</f>
        <v>0</v>
      </c>
    </row>
    <row r="150" customFormat="false" ht="15" hidden="false" customHeight="true" outlineLevel="0" collapsed="false">
      <c r="A150" s="21" t="str">
        <f aca="false">IF($D150="","",ROW()-1)</f>
        <v/>
      </c>
      <c r="B150" s="17"/>
      <c r="C150" s="22"/>
      <c r="D150" s="23"/>
      <c r="E150" s="24" t="n">
        <v>1</v>
      </c>
      <c r="F150" s="23"/>
      <c r="G150" s="23"/>
      <c r="H150" s="23"/>
      <c r="I150" s="23"/>
      <c r="J150" s="25" t="n">
        <f aca="false">IFERROR(INDEX(Precios!$C$2:$D$25,MATCH($D150,Precios!$A$2:$A$25,0),IF($F150="Transferencia",2,1)),0)</f>
        <v>0</v>
      </c>
      <c r="K150" s="25" t="n">
        <f aca="false">E150*J150</f>
        <v>0</v>
      </c>
    </row>
    <row r="151" customFormat="false" ht="15" hidden="false" customHeight="true" outlineLevel="0" collapsed="false">
      <c r="A151" s="21" t="str">
        <f aca="false">IF($D151="","",ROW()-1)</f>
        <v/>
      </c>
      <c r="B151" s="17"/>
      <c r="C151" s="22"/>
      <c r="D151" s="23"/>
      <c r="E151" s="24" t="n">
        <v>1</v>
      </c>
      <c r="F151" s="23"/>
      <c r="G151" s="23"/>
      <c r="H151" s="23"/>
      <c r="I151" s="23"/>
      <c r="J151" s="25" t="n">
        <f aca="false">IFERROR(INDEX(Precios!$C$2:$D$25,MATCH($D151,Precios!$A$2:$A$25,0),IF($F151="Transferencia",2,1)),0)</f>
        <v>0</v>
      </c>
      <c r="K151" s="25" t="n">
        <f aca="false">E151*J151</f>
        <v>0</v>
      </c>
    </row>
    <row r="152" customFormat="false" ht="15" hidden="false" customHeight="true" outlineLevel="0" collapsed="false">
      <c r="A152" s="21" t="str">
        <f aca="false">IF($D152="","",ROW()-1)</f>
        <v/>
      </c>
      <c r="B152" s="17"/>
      <c r="C152" s="22"/>
      <c r="D152" s="23"/>
      <c r="E152" s="24" t="n">
        <v>1</v>
      </c>
      <c r="F152" s="23"/>
      <c r="G152" s="23"/>
      <c r="H152" s="23"/>
      <c r="I152" s="23"/>
      <c r="J152" s="25" t="n">
        <f aca="false">IFERROR(INDEX(Precios!$C$2:$D$25,MATCH($D152,Precios!$A$2:$A$25,0),IF($F152="Transferencia",2,1)),0)</f>
        <v>0</v>
      </c>
      <c r="K152" s="25" t="n">
        <f aca="false">E152*J152</f>
        <v>0</v>
      </c>
    </row>
    <row r="153" customFormat="false" ht="15" hidden="false" customHeight="true" outlineLevel="0" collapsed="false">
      <c r="A153" s="21" t="str">
        <f aca="false">IF($D153="","",ROW()-1)</f>
        <v/>
      </c>
      <c r="B153" s="17"/>
      <c r="C153" s="22"/>
      <c r="D153" s="23"/>
      <c r="E153" s="24" t="n">
        <v>1</v>
      </c>
      <c r="F153" s="23"/>
      <c r="G153" s="23"/>
      <c r="H153" s="23"/>
      <c r="I153" s="23"/>
      <c r="J153" s="25" t="n">
        <f aca="false">IFERROR(INDEX(Precios!$C$2:$D$25,MATCH($D153,Precios!$A$2:$A$25,0),IF($F153="Transferencia",2,1)),0)</f>
        <v>0</v>
      </c>
      <c r="K153" s="25" t="n">
        <f aca="false">E153*J153</f>
        <v>0</v>
      </c>
    </row>
    <row r="154" customFormat="false" ht="15" hidden="false" customHeight="true" outlineLevel="0" collapsed="false">
      <c r="A154" s="21" t="str">
        <f aca="false">IF($D154="","",ROW()-1)</f>
        <v/>
      </c>
      <c r="B154" s="17"/>
      <c r="C154" s="22"/>
      <c r="D154" s="23"/>
      <c r="E154" s="24" t="n">
        <v>1</v>
      </c>
      <c r="F154" s="23"/>
      <c r="G154" s="23"/>
      <c r="H154" s="23"/>
      <c r="I154" s="23"/>
      <c r="J154" s="25" t="n">
        <f aca="false">IFERROR(INDEX(Precios!$C$2:$D$25,MATCH($D154,Precios!$A$2:$A$25,0),IF($F154="Transferencia",2,1)),0)</f>
        <v>0</v>
      </c>
      <c r="K154" s="25" t="n">
        <f aca="false">E154*J154</f>
        <v>0</v>
      </c>
    </row>
    <row r="155" customFormat="false" ht="15" hidden="false" customHeight="true" outlineLevel="0" collapsed="false">
      <c r="A155" s="21" t="str">
        <f aca="false">IF($D155="","",ROW()-1)</f>
        <v/>
      </c>
      <c r="B155" s="17"/>
      <c r="C155" s="22"/>
      <c r="D155" s="23"/>
      <c r="E155" s="24" t="n">
        <v>1</v>
      </c>
      <c r="F155" s="23"/>
      <c r="G155" s="23"/>
      <c r="H155" s="23"/>
      <c r="I155" s="23"/>
      <c r="J155" s="25" t="n">
        <f aca="false">IFERROR(INDEX(Precios!$C$2:$D$25,MATCH($D155,Precios!$A$2:$A$25,0),IF($F155="Transferencia",2,1)),0)</f>
        <v>0</v>
      </c>
      <c r="K155" s="25" t="n">
        <f aca="false">E155*J155</f>
        <v>0</v>
      </c>
    </row>
    <row r="156" customFormat="false" ht="15" hidden="false" customHeight="true" outlineLevel="0" collapsed="false">
      <c r="A156" s="21" t="str">
        <f aca="false">IF($D156="","",ROW()-1)</f>
        <v/>
      </c>
      <c r="B156" s="17"/>
      <c r="C156" s="22"/>
      <c r="D156" s="23"/>
      <c r="E156" s="24" t="n">
        <v>1</v>
      </c>
      <c r="F156" s="23"/>
      <c r="G156" s="23"/>
      <c r="H156" s="23"/>
      <c r="I156" s="23"/>
      <c r="J156" s="25" t="n">
        <f aca="false">IFERROR(INDEX(Precios!$C$2:$D$25,MATCH($D156,Precios!$A$2:$A$25,0),IF($F156="Transferencia",2,1)),0)</f>
        <v>0</v>
      </c>
      <c r="K156" s="25" t="n">
        <f aca="false">E156*J156</f>
        <v>0</v>
      </c>
    </row>
    <row r="157" customFormat="false" ht="15" hidden="false" customHeight="true" outlineLevel="0" collapsed="false">
      <c r="A157" s="21" t="str">
        <f aca="false">IF($D157="","",ROW()-1)</f>
        <v/>
      </c>
      <c r="B157" s="17"/>
      <c r="C157" s="22"/>
      <c r="D157" s="23"/>
      <c r="E157" s="24" t="n">
        <v>1</v>
      </c>
      <c r="F157" s="23"/>
      <c r="G157" s="23"/>
      <c r="H157" s="23"/>
      <c r="I157" s="23"/>
      <c r="J157" s="25" t="n">
        <f aca="false">IFERROR(INDEX(Precios!$C$2:$D$25,MATCH($D157,Precios!$A$2:$A$25,0),IF($F157="Transferencia",2,1)),0)</f>
        <v>0</v>
      </c>
      <c r="K157" s="25" t="n">
        <f aca="false">E157*J157</f>
        <v>0</v>
      </c>
    </row>
    <row r="158" customFormat="false" ht="15" hidden="false" customHeight="true" outlineLevel="0" collapsed="false">
      <c r="A158" s="21" t="str">
        <f aca="false">IF($D158="","",ROW()-1)</f>
        <v/>
      </c>
      <c r="B158" s="17"/>
      <c r="C158" s="22"/>
      <c r="D158" s="23"/>
      <c r="E158" s="24" t="n">
        <v>1</v>
      </c>
      <c r="F158" s="23"/>
      <c r="G158" s="23"/>
      <c r="H158" s="23"/>
      <c r="I158" s="23"/>
      <c r="J158" s="25" t="n">
        <f aca="false">IFERROR(INDEX(Precios!$C$2:$D$25,MATCH($D158,Precios!$A$2:$A$25,0),IF($F158="Transferencia",2,1)),0)</f>
        <v>0</v>
      </c>
      <c r="K158" s="25" t="n">
        <f aca="false">E158*J158</f>
        <v>0</v>
      </c>
    </row>
    <row r="159" customFormat="false" ht="15" hidden="false" customHeight="true" outlineLevel="0" collapsed="false">
      <c r="A159" s="21" t="str">
        <f aca="false">IF($D159="","",ROW()-1)</f>
        <v/>
      </c>
      <c r="B159" s="17"/>
      <c r="C159" s="22"/>
      <c r="D159" s="23"/>
      <c r="E159" s="24" t="n">
        <v>1</v>
      </c>
      <c r="F159" s="23"/>
      <c r="G159" s="23"/>
      <c r="H159" s="23"/>
      <c r="I159" s="23"/>
      <c r="J159" s="25" t="n">
        <f aca="false">IFERROR(INDEX(Precios!$C$2:$D$25,MATCH($D159,Precios!$A$2:$A$25,0),IF($F159="Transferencia",2,1)),0)</f>
        <v>0</v>
      </c>
      <c r="K159" s="25" t="n">
        <f aca="false">E159*J159</f>
        <v>0</v>
      </c>
    </row>
    <row r="160" customFormat="false" ht="15" hidden="false" customHeight="true" outlineLevel="0" collapsed="false">
      <c r="A160" s="21" t="str">
        <f aca="false">IF($D160="","",ROW()-1)</f>
        <v/>
      </c>
      <c r="B160" s="17"/>
      <c r="C160" s="22"/>
      <c r="D160" s="23"/>
      <c r="E160" s="24" t="n">
        <v>1</v>
      </c>
      <c r="F160" s="23"/>
      <c r="G160" s="23"/>
      <c r="H160" s="23"/>
      <c r="I160" s="23"/>
      <c r="J160" s="25" t="n">
        <f aca="false">IFERROR(INDEX(Precios!$C$2:$D$25,MATCH($D160,Precios!$A$2:$A$25,0),IF($F160="Transferencia",2,1)),0)</f>
        <v>0</v>
      </c>
      <c r="K160" s="25" t="n">
        <f aca="false">E160*J160</f>
        <v>0</v>
      </c>
    </row>
    <row r="161" customFormat="false" ht="15" hidden="false" customHeight="true" outlineLevel="0" collapsed="false">
      <c r="A161" s="21" t="str">
        <f aca="false">IF($D161="","",ROW()-1)</f>
        <v/>
      </c>
      <c r="B161" s="17"/>
      <c r="C161" s="22"/>
      <c r="D161" s="23"/>
      <c r="E161" s="24" t="n">
        <v>1</v>
      </c>
      <c r="F161" s="23"/>
      <c r="G161" s="23"/>
      <c r="H161" s="23"/>
      <c r="I161" s="23"/>
      <c r="J161" s="25" t="n">
        <f aca="false">IFERROR(INDEX(Precios!$C$2:$D$25,MATCH($D161,Precios!$A$2:$A$25,0),IF($F161="Transferencia",2,1)),0)</f>
        <v>0</v>
      </c>
      <c r="K161" s="25" t="n">
        <f aca="false">E161*J161</f>
        <v>0</v>
      </c>
    </row>
    <row r="162" customFormat="false" ht="15" hidden="false" customHeight="true" outlineLevel="0" collapsed="false">
      <c r="A162" s="21" t="str">
        <f aca="false">IF($D162="","",ROW()-1)</f>
        <v/>
      </c>
      <c r="B162" s="17"/>
      <c r="C162" s="22"/>
      <c r="D162" s="23"/>
      <c r="E162" s="24" t="n">
        <v>1</v>
      </c>
      <c r="F162" s="23"/>
      <c r="G162" s="23"/>
      <c r="H162" s="23"/>
      <c r="I162" s="23"/>
      <c r="J162" s="25" t="n">
        <f aca="false">IFERROR(INDEX(Precios!$C$2:$D$25,MATCH($D162,Precios!$A$2:$A$25,0),IF($F162="Transferencia",2,1)),0)</f>
        <v>0</v>
      </c>
      <c r="K162" s="25" t="n">
        <f aca="false">E162*J162</f>
        <v>0</v>
      </c>
    </row>
    <row r="163" customFormat="false" ht="15" hidden="false" customHeight="true" outlineLevel="0" collapsed="false">
      <c r="A163" s="21" t="str">
        <f aca="false">IF($D163="","",ROW()-1)</f>
        <v/>
      </c>
      <c r="B163" s="17"/>
      <c r="C163" s="22"/>
      <c r="D163" s="23"/>
      <c r="E163" s="24" t="n">
        <v>1</v>
      </c>
      <c r="F163" s="23"/>
      <c r="G163" s="23"/>
      <c r="H163" s="23"/>
      <c r="I163" s="23"/>
      <c r="J163" s="25" t="n">
        <f aca="false">IFERROR(INDEX(Precios!$C$2:$D$25,MATCH($D163,Precios!$A$2:$A$25,0),IF($F163="Transferencia",2,1)),0)</f>
        <v>0</v>
      </c>
      <c r="K163" s="25" t="n">
        <f aca="false">E163*J163</f>
        <v>0</v>
      </c>
    </row>
    <row r="164" customFormat="false" ht="15" hidden="false" customHeight="true" outlineLevel="0" collapsed="false">
      <c r="A164" s="21" t="str">
        <f aca="false">IF($D164="","",ROW()-1)</f>
        <v/>
      </c>
      <c r="B164" s="17"/>
      <c r="C164" s="22"/>
      <c r="D164" s="23"/>
      <c r="E164" s="24" t="n">
        <v>1</v>
      </c>
      <c r="F164" s="23"/>
      <c r="G164" s="23"/>
      <c r="H164" s="23"/>
      <c r="I164" s="23"/>
      <c r="J164" s="25" t="n">
        <f aca="false">IFERROR(INDEX(Precios!$C$2:$D$25,MATCH($D164,Precios!$A$2:$A$25,0),IF($F164="Transferencia",2,1)),0)</f>
        <v>0</v>
      </c>
      <c r="K164" s="25" t="n">
        <f aca="false">E164*J164</f>
        <v>0</v>
      </c>
    </row>
    <row r="165" customFormat="false" ht="15" hidden="false" customHeight="true" outlineLevel="0" collapsed="false">
      <c r="A165" s="21" t="str">
        <f aca="false">IF($D165="","",ROW()-1)</f>
        <v/>
      </c>
      <c r="B165" s="17"/>
      <c r="C165" s="22"/>
      <c r="D165" s="23"/>
      <c r="E165" s="24" t="n">
        <v>1</v>
      </c>
      <c r="F165" s="23"/>
      <c r="G165" s="23"/>
      <c r="H165" s="23"/>
      <c r="I165" s="23"/>
      <c r="J165" s="25" t="n">
        <f aca="false">IFERROR(INDEX(Precios!$C$2:$D$25,MATCH($D165,Precios!$A$2:$A$25,0),IF($F165="Transferencia",2,1)),0)</f>
        <v>0</v>
      </c>
      <c r="K165" s="25" t="n">
        <f aca="false">E165*J165</f>
        <v>0</v>
      </c>
    </row>
    <row r="166" customFormat="false" ht="15" hidden="false" customHeight="true" outlineLevel="0" collapsed="false">
      <c r="A166" s="21" t="str">
        <f aca="false">IF($D166="","",ROW()-1)</f>
        <v/>
      </c>
      <c r="B166" s="17"/>
      <c r="C166" s="22"/>
      <c r="D166" s="23"/>
      <c r="E166" s="24" t="n">
        <v>1</v>
      </c>
      <c r="F166" s="23"/>
      <c r="G166" s="23"/>
      <c r="H166" s="23"/>
      <c r="I166" s="23"/>
      <c r="J166" s="25" t="n">
        <f aca="false">IFERROR(INDEX(Precios!$C$2:$D$25,MATCH($D166,Precios!$A$2:$A$25,0),IF($F166="Transferencia",2,1)),0)</f>
        <v>0</v>
      </c>
      <c r="K166" s="25" t="n">
        <f aca="false">E166*J166</f>
        <v>0</v>
      </c>
    </row>
    <row r="167" customFormat="false" ht="15" hidden="false" customHeight="true" outlineLevel="0" collapsed="false">
      <c r="A167" s="21" t="str">
        <f aca="false">IF($D167="","",ROW()-1)</f>
        <v/>
      </c>
      <c r="B167" s="17"/>
      <c r="C167" s="22"/>
      <c r="D167" s="23"/>
      <c r="E167" s="24" t="n">
        <v>1</v>
      </c>
      <c r="F167" s="23"/>
      <c r="G167" s="23"/>
      <c r="H167" s="23"/>
      <c r="I167" s="23"/>
      <c r="J167" s="25" t="n">
        <f aca="false">IFERROR(INDEX(Precios!$C$2:$D$25,MATCH($D167,Precios!$A$2:$A$25,0),IF($F167="Transferencia",2,1)),0)</f>
        <v>0</v>
      </c>
      <c r="K167" s="25" t="n">
        <f aca="false">E167*J167</f>
        <v>0</v>
      </c>
    </row>
    <row r="168" customFormat="false" ht="15" hidden="false" customHeight="true" outlineLevel="0" collapsed="false">
      <c r="A168" s="21" t="str">
        <f aca="false">IF($D168="","",ROW()-1)</f>
        <v/>
      </c>
      <c r="B168" s="17"/>
      <c r="C168" s="22"/>
      <c r="D168" s="23"/>
      <c r="E168" s="24" t="n">
        <v>1</v>
      </c>
      <c r="F168" s="23"/>
      <c r="G168" s="23"/>
      <c r="H168" s="23"/>
      <c r="I168" s="23"/>
      <c r="J168" s="25" t="n">
        <f aca="false">IFERROR(INDEX(Precios!$C$2:$D$25,MATCH($D168,Precios!$A$2:$A$25,0),IF($F168="Transferencia",2,1)),0)</f>
        <v>0</v>
      </c>
      <c r="K168" s="25" t="n">
        <f aca="false">E168*J168</f>
        <v>0</v>
      </c>
    </row>
    <row r="169" customFormat="false" ht="15" hidden="false" customHeight="true" outlineLevel="0" collapsed="false">
      <c r="A169" s="21" t="str">
        <f aca="false">IF($D169="","",ROW()-1)</f>
        <v/>
      </c>
      <c r="B169" s="17"/>
      <c r="C169" s="22"/>
      <c r="D169" s="23"/>
      <c r="E169" s="24" t="n">
        <v>1</v>
      </c>
      <c r="F169" s="23"/>
      <c r="G169" s="23"/>
      <c r="H169" s="23"/>
      <c r="I169" s="23"/>
      <c r="J169" s="25" t="n">
        <f aca="false">IFERROR(INDEX(Precios!$C$2:$D$25,MATCH($D169,Precios!$A$2:$A$25,0),IF($F169="Transferencia",2,1)),0)</f>
        <v>0</v>
      </c>
      <c r="K169" s="25" t="n">
        <f aca="false">E169*J169</f>
        <v>0</v>
      </c>
    </row>
    <row r="170" customFormat="false" ht="15" hidden="false" customHeight="true" outlineLevel="0" collapsed="false">
      <c r="A170" s="21" t="str">
        <f aca="false">IF($D170="","",ROW()-1)</f>
        <v/>
      </c>
      <c r="B170" s="17"/>
      <c r="C170" s="22"/>
      <c r="D170" s="23"/>
      <c r="E170" s="24" t="n">
        <v>1</v>
      </c>
      <c r="F170" s="23"/>
      <c r="G170" s="23"/>
      <c r="H170" s="23"/>
      <c r="I170" s="23"/>
      <c r="J170" s="25" t="n">
        <f aca="false">IFERROR(INDEX(Precios!$C$2:$D$25,MATCH($D170,Precios!$A$2:$A$25,0),IF($F170="Transferencia",2,1)),0)</f>
        <v>0</v>
      </c>
      <c r="K170" s="25" t="n">
        <f aca="false">E170*J170</f>
        <v>0</v>
      </c>
    </row>
    <row r="171" customFormat="false" ht="15" hidden="false" customHeight="true" outlineLevel="0" collapsed="false">
      <c r="A171" s="21" t="str">
        <f aca="false">IF($D171="","",ROW()-1)</f>
        <v/>
      </c>
      <c r="B171" s="17"/>
      <c r="C171" s="22"/>
      <c r="D171" s="23"/>
      <c r="E171" s="24" t="n">
        <v>1</v>
      </c>
      <c r="F171" s="23"/>
      <c r="G171" s="23"/>
      <c r="H171" s="23"/>
      <c r="I171" s="23"/>
      <c r="J171" s="25" t="n">
        <f aca="false">IFERROR(INDEX(Precios!$C$2:$D$25,MATCH($D171,Precios!$A$2:$A$25,0),IF($F171="Transferencia",2,1)),0)</f>
        <v>0</v>
      </c>
      <c r="K171" s="25" t="n">
        <f aca="false">E171*J171</f>
        <v>0</v>
      </c>
    </row>
    <row r="172" customFormat="false" ht="15" hidden="false" customHeight="true" outlineLevel="0" collapsed="false">
      <c r="A172" s="21" t="str">
        <f aca="false">IF($D172="","",ROW()-1)</f>
        <v/>
      </c>
      <c r="B172" s="17"/>
      <c r="C172" s="22"/>
      <c r="D172" s="23"/>
      <c r="E172" s="24" t="n">
        <v>1</v>
      </c>
      <c r="F172" s="23"/>
      <c r="G172" s="23"/>
      <c r="H172" s="23"/>
      <c r="I172" s="23"/>
      <c r="J172" s="25" t="n">
        <f aca="false">IFERROR(INDEX(Precios!$C$2:$D$25,MATCH($D172,Precios!$A$2:$A$25,0),IF($F172="Transferencia",2,1)),0)</f>
        <v>0</v>
      </c>
      <c r="K172" s="25" t="n">
        <f aca="false">E172*J172</f>
        <v>0</v>
      </c>
    </row>
    <row r="173" customFormat="false" ht="15" hidden="false" customHeight="true" outlineLevel="0" collapsed="false">
      <c r="A173" s="21" t="str">
        <f aca="false">IF($D173="","",ROW()-1)</f>
        <v/>
      </c>
      <c r="B173" s="17"/>
      <c r="C173" s="22"/>
      <c r="D173" s="23"/>
      <c r="E173" s="24" t="n">
        <v>1</v>
      </c>
      <c r="F173" s="23"/>
      <c r="G173" s="23"/>
      <c r="H173" s="23"/>
      <c r="I173" s="23"/>
      <c r="J173" s="25" t="n">
        <f aca="false">IFERROR(INDEX(Precios!$C$2:$D$25,MATCH($D173,Precios!$A$2:$A$25,0),IF($F173="Transferencia",2,1)),0)</f>
        <v>0</v>
      </c>
      <c r="K173" s="25" t="n">
        <f aca="false">E173*J173</f>
        <v>0</v>
      </c>
    </row>
    <row r="174" customFormat="false" ht="15" hidden="false" customHeight="true" outlineLevel="0" collapsed="false">
      <c r="A174" s="21" t="str">
        <f aca="false">IF($D174="","",ROW()-1)</f>
        <v/>
      </c>
      <c r="B174" s="17"/>
      <c r="C174" s="22"/>
      <c r="D174" s="23"/>
      <c r="E174" s="24" t="n">
        <v>1</v>
      </c>
      <c r="F174" s="23"/>
      <c r="G174" s="23"/>
      <c r="H174" s="23"/>
      <c r="I174" s="23"/>
      <c r="J174" s="25" t="n">
        <f aca="false">IFERROR(INDEX(Precios!$C$2:$D$25,MATCH($D174,Precios!$A$2:$A$25,0),IF($F174="Transferencia",2,1)),0)</f>
        <v>0</v>
      </c>
      <c r="K174" s="25" t="n">
        <f aca="false">E174*J174</f>
        <v>0</v>
      </c>
    </row>
    <row r="175" customFormat="false" ht="15" hidden="false" customHeight="true" outlineLevel="0" collapsed="false">
      <c r="A175" s="21" t="str">
        <f aca="false">IF($D175="","",ROW()-1)</f>
        <v/>
      </c>
      <c r="B175" s="17"/>
      <c r="C175" s="22"/>
      <c r="D175" s="23"/>
      <c r="E175" s="24" t="n">
        <v>1</v>
      </c>
      <c r="F175" s="23"/>
      <c r="G175" s="23"/>
      <c r="H175" s="23"/>
      <c r="I175" s="23"/>
      <c r="J175" s="25" t="n">
        <f aca="false">IFERROR(INDEX(Precios!$C$2:$D$25,MATCH($D175,Precios!$A$2:$A$25,0),IF($F175="Transferencia",2,1)),0)</f>
        <v>0</v>
      </c>
      <c r="K175" s="25" t="n">
        <f aca="false">E175*J175</f>
        <v>0</v>
      </c>
    </row>
    <row r="176" customFormat="false" ht="15" hidden="false" customHeight="true" outlineLevel="0" collapsed="false">
      <c r="A176" s="21" t="str">
        <f aca="false">IF($D176="","",ROW()-1)</f>
        <v/>
      </c>
      <c r="B176" s="17"/>
      <c r="C176" s="22"/>
      <c r="D176" s="23"/>
      <c r="E176" s="24" t="n">
        <v>1</v>
      </c>
      <c r="F176" s="23"/>
      <c r="G176" s="23"/>
      <c r="H176" s="23"/>
      <c r="I176" s="23"/>
      <c r="J176" s="25" t="n">
        <f aca="false">IFERROR(INDEX(Precios!$C$2:$D$25,MATCH($D176,Precios!$A$2:$A$25,0),IF($F176="Transferencia",2,1)),0)</f>
        <v>0</v>
      </c>
      <c r="K176" s="25" t="n">
        <f aca="false">E176*J176</f>
        <v>0</v>
      </c>
    </row>
    <row r="177" customFormat="false" ht="15" hidden="false" customHeight="true" outlineLevel="0" collapsed="false">
      <c r="A177" s="21" t="str">
        <f aca="false">IF($D177="","",ROW()-1)</f>
        <v/>
      </c>
      <c r="B177" s="17"/>
      <c r="C177" s="22"/>
      <c r="D177" s="23"/>
      <c r="E177" s="24" t="n">
        <v>1</v>
      </c>
      <c r="F177" s="23"/>
      <c r="G177" s="23"/>
      <c r="H177" s="23"/>
      <c r="I177" s="23"/>
      <c r="J177" s="25" t="n">
        <f aca="false">IFERROR(INDEX(Precios!$C$2:$D$25,MATCH($D177,Precios!$A$2:$A$25,0),IF($F177="Transferencia",2,1)),0)</f>
        <v>0</v>
      </c>
      <c r="K177" s="25" t="n">
        <f aca="false">E177*J177</f>
        <v>0</v>
      </c>
    </row>
    <row r="178" customFormat="false" ht="15" hidden="false" customHeight="true" outlineLevel="0" collapsed="false">
      <c r="A178" s="21" t="str">
        <f aca="false">IF($D178="","",ROW()-1)</f>
        <v/>
      </c>
      <c r="B178" s="17"/>
      <c r="C178" s="22"/>
      <c r="D178" s="23"/>
      <c r="E178" s="24" t="n">
        <v>1</v>
      </c>
      <c r="F178" s="23"/>
      <c r="G178" s="23"/>
      <c r="H178" s="23"/>
      <c r="I178" s="23"/>
      <c r="J178" s="25" t="n">
        <f aca="false">IFERROR(INDEX(Precios!$C$2:$D$25,MATCH($D178,Precios!$A$2:$A$25,0),IF($F178="Transferencia",2,1)),0)</f>
        <v>0</v>
      </c>
      <c r="K178" s="25" t="n">
        <f aca="false">E178*J178</f>
        <v>0</v>
      </c>
    </row>
    <row r="179" customFormat="false" ht="15" hidden="false" customHeight="true" outlineLevel="0" collapsed="false">
      <c r="A179" s="21" t="str">
        <f aca="false">IF($D179="","",ROW()-1)</f>
        <v/>
      </c>
      <c r="B179" s="17"/>
      <c r="C179" s="22"/>
      <c r="D179" s="23"/>
      <c r="E179" s="24" t="n">
        <v>1</v>
      </c>
      <c r="F179" s="23"/>
      <c r="G179" s="23"/>
      <c r="H179" s="23"/>
      <c r="I179" s="23"/>
      <c r="J179" s="25" t="n">
        <f aca="false">IFERROR(INDEX(Precios!$C$2:$D$25,MATCH($D179,Precios!$A$2:$A$25,0),IF($F179="Transferencia",2,1)),0)</f>
        <v>0</v>
      </c>
      <c r="K179" s="25" t="n">
        <f aca="false">E179*J179</f>
        <v>0</v>
      </c>
    </row>
    <row r="180" customFormat="false" ht="15" hidden="false" customHeight="true" outlineLevel="0" collapsed="false">
      <c r="A180" s="21" t="str">
        <f aca="false">IF($D180="","",ROW()-1)</f>
        <v/>
      </c>
      <c r="B180" s="17"/>
      <c r="C180" s="22"/>
      <c r="D180" s="23"/>
      <c r="E180" s="24" t="n">
        <v>1</v>
      </c>
      <c r="F180" s="23"/>
      <c r="G180" s="23"/>
      <c r="H180" s="23"/>
      <c r="I180" s="23"/>
      <c r="J180" s="25" t="n">
        <f aca="false">IFERROR(INDEX(Precios!$C$2:$D$25,MATCH($D180,Precios!$A$2:$A$25,0),IF($F180="Transferencia",2,1)),0)</f>
        <v>0</v>
      </c>
      <c r="K180" s="25" t="n">
        <f aca="false">E180*J180</f>
        <v>0</v>
      </c>
    </row>
    <row r="181" customFormat="false" ht="15" hidden="false" customHeight="true" outlineLevel="0" collapsed="false">
      <c r="A181" s="21" t="str">
        <f aca="false">IF($D181="","",ROW()-1)</f>
        <v/>
      </c>
      <c r="B181" s="17"/>
      <c r="C181" s="22"/>
      <c r="D181" s="23"/>
      <c r="E181" s="24" t="n">
        <v>1</v>
      </c>
      <c r="F181" s="23"/>
      <c r="G181" s="23"/>
      <c r="H181" s="23"/>
      <c r="I181" s="23"/>
      <c r="J181" s="25" t="n">
        <f aca="false">IFERROR(INDEX(Precios!$C$2:$D$25,MATCH($D181,Precios!$A$2:$A$25,0),IF($F181="Transferencia",2,1)),0)</f>
        <v>0</v>
      </c>
      <c r="K181" s="25" t="n">
        <f aca="false">E181*J181</f>
        <v>0</v>
      </c>
    </row>
    <row r="182" customFormat="false" ht="15" hidden="false" customHeight="true" outlineLevel="0" collapsed="false">
      <c r="A182" s="21" t="str">
        <f aca="false">IF($D182="","",ROW()-1)</f>
        <v/>
      </c>
      <c r="B182" s="17"/>
      <c r="C182" s="22"/>
      <c r="D182" s="23"/>
      <c r="E182" s="24" t="n">
        <v>1</v>
      </c>
      <c r="F182" s="23"/>
      <c r="G182" s="23"/>
      <c r="H182" s="23"/>
      <c r="I182" s="23"/>
      <c r="J182" s="25" t="n">
        <f aca="false">IFERROR(INDEX(Precios!$C$2:$D$25,MATCH($D182,Precios!$A$2:$A$25,0),IF($F182="Transferencia",2,1)),0)</f>
        <v>0</v>
      </c>
      <c r="K182" s="25" t="n">
        <f aca="false">E182*J182</f>
        <v>0</v>
      </c>
    </row>
    <row r="183" customFormat="false" ht="15" hidden="false" customHeight="true" outlineLevel="0" collapsed="false">
      <c r="A183" s="21" t="str">
        <f aca="false">IF($D183="","",ROW()-1)</f>
        <v/>
      </c>
      <c r="B183" s="17"/>
      <c r="C183" s="22"/>
      <c r="D183" s="23"/>
      <c r="E183" s="24" t="n">
        <v>1</v>
      </c>
      <c r="F183" s="23"/>
      <c r="G183" s="23"/>
      <c r="H183" s="23"/>
      <c r="I183" s="23"/>
      <c r="J183" s="25" t="n">
        <f aca="false">IFERROR(INDEX(Precios!$C$2:$D$25,MATCH($D183,Precios!$A$2:$A$25,0),IF($F183="Transferencia",2,1)),0)</f>
        <v>0</v>
      </c>
      <c r="K183" s="25" t="n">
        <f aca="false">E183*J183</f>
        <v>0</v>
      </c>
    </row>
    <row r="184" customFormat="false" ht="15" hidden="false" customHeight="true" outlineLevel="0" collapsed="false">
      <c r="A184" s="21" t="str">
        <f aca="false">IF($D184="","",ROW()-1)</f>
        <v/>
      </c>
      <c r="B184" s="17"/>
      <c r="C184" s="22"/>
      <c r="D184" s="23"/>
      <c r="E184" s="24" t="n">
        <v>1</v>
      </c>
      <c r="F184" s="23"/>
      <c r="G184" s="23"/>
      <c r="H184" s="23"/>
      <c r="I184" s="23"/>
      <c r="J184" s="25" t="n">
        <f aca="false">IFERROR(INDEX(Precios!$C$2:$D$25,MATCH($D184,Precios!$A$2:$A$25,0),IF($F184="Transferencia",2,1)),0)</f>
        <v>0</v>
      </c>
      <c r="K184" s="25" t="n">
        <f aca="false">E184*J184</f>
        <v>0</v>
      </c>
    </row>
    <row r="185" customFormat="false" ht="15" hidden="false" customHeight="true" outlineLevel="0" collapsed="false">
      <c r="A185" s="21" t="str">
        <f aca="false">IF($D185="","",ROW()-1)</f>
        <v/>
      </c>
      <c r="B185" s="17"/>
      <c r="C185" s="22"/>
      <c r="D185" s="23"/>
      <c r="E185" s="24" t="n">
        <v>1</v>
      </c>
      <c r="F185" s="23"/>
      <c r="G185" s="23"/>
      <c r="H185" s="23"/>
      <c r="I185" s="23"/>
      <c r="J185" s="25" t="n">
        <f aca="false">IFERROR(INDEX(Precios!$C$2:$D$25,MATCH($D185,Precios!$A$2:$A$25,0),IF($F185="Transferencia",2,1)),0)</f>
        <v>0</v>
      </c>
      <c r="K185" s="25" t="n">
        <f aca="false">E185*J185</f>
        <v>0</v>
      </c>
    </row>
    <row r="186" customFormat="false" ht="15" hidden="false" customHeight="true" outlineLevel="0" collapsed="false">
      <c r="A186" s="21" t="str">
        <f aca="false">IF($D186="","",ROW()-1)</f>
        <v/>
      </c>
      <c r="B186" s="17"/>
      <c r="C186" s="22"/>
      <c r="D186" s="23"/>
      <c r="E186" s="24" t="n">
        <v>1</v>
      </c>
      <c r="F186" s="23"/>
      <c r="G186" s="23"/>
      <c r="H186" s="23"/>
      <c r="I186" s="23"/>
      <c r="J186" s="25" t="n">
        <f aca="false">IFERROR(INDEX(Precios!$C$2:$D$25,MATCH($D186,Precios!$A$2:$A$25,0),IF($F186="Transferencia",2,1)),0)</f>
        <v>0</v>
      </c>
      <c r="K186" s="25" t="n">
        <f aca="false">E186*J186</f>
        <v>0</v>
      </c>
    </row>
    <row r="187" customFormat="false" ht="15" hidden="false" customHeight="true" outlineLevel="0" collapsed="false">
      <c r="A187" s="21" t="str">
        <f aca="false">IF($D187="","",ROW()-1)</f>
        <v/>
      </c>
      <c r="B187" s="17"/>
      <c r="C187" s="22"/>
      <c r="D187" s="23"/>
      <c r="E187" s="24" t="n">
        <v>1</v>
      </c>
      <c r="F187" s="23"/>
      <c r="G187" s="23"/>
      <c r="H187" s="23"/>
      <c r="I187" s="23"/>
      <c r="J187" s="25" t="n">
        <f aca="false">IFERROR(INDEX(Precios!$C$2:$D$25,MATCH($D187,Precios!$A$2:$A$25,0),IF($F187="Transferencia",2,1)),0)</f>
        <v>0</v>
      </c>
      <c r="K187" s="25" t="n">
        <f aca="false">E187*J187</f>
        <v>0</v>
      </c>
    </row>
    <row r="188" customFormat="false" ht="15" hidden="false" customHeight="true" outlineLevel="0" collapsed="false">
      <c r="A188" s="21" t="str">
        <f aca="false">IF($D188="","",ROW()-1)</f>
        <v/>
      </c>
      <c r="B188" s="17"/>
      <c r="C188" s="22"/>
      <c r="D188" s="23"/>
      <c r="E188" s="24" t="n">
        <v>1</v>
      </c>
      <c r="F188" s="23"/>
      <c r="G188" s="23"/>
      <c r="H188" s="23"/>
      <c r="I188" s="23"/>
      <c r="J188" s="25" t="n">
        <f aca="false">IFERROR(INDEX(Precios!$C$2:$D$25,MATCH($D188,Precios!$A$2:$A$25,0),IF($F188="Transferencia",2,1)),0)</f>
        <v>0</v>
      </c>
      <c r="K188" s="25" t="n">
        <f aca="false">E188*J188</f>
        <v>0</v>
      </c>
    </row>
    <row r="189" customFormat="false" ht="15" hidden="false" customHeight="true" outlineLevel="0" collapsed="false">
      <c r="A189" s="21" t="str">
        <f aca="false">IF($D189="","",ROW()-1)</f>
        <v/>
      </c>
      <c r="B189" s="17"/>
      <c r="C189" s="22"/>
      <c r="D189" s="23"/>
      <c r="E189" s="24" t="n">
        <v>1</v>
      </c>
      <c r="F189" s="23"/>
      <c r="G189" s="23"/>
      <c r="H189" s="23"/>
      <c r="I189" s="23"/>
      <c r="J189" s="25" t="n">
        <f aca="false">IFERROR(INDEX(Precios!$C$2:$D$25,MATCH($D189,Precios!$A$2:$A$25,0),IF($F189="Transferencia",2,1)),0)</f>
        <v>0</v>
      </c>
      <c r="K189" s="25" t="n">
        <f aca="false">E189*J189</f>
        <v>0</v>
      </c>
    </row>
    <row r="190" customFormat="false" ht="15" hidden="false" customHeight="true" outlineLevel="0" collapsed="false">
      <c r="A190" s="21" t="str">
        <f aca="false">IF($D190="","",ROW()-1)</f>
        <v/>
      </c>
      <c r="B190" s="17"/>
      <c r="C190" s="22"/>
      <c r="D190" s="23"/>
      <c r="E190" s="24" t="n">
        <v>1</v>
      </c>
      <c r="F190" s="23"/>
      <c r="G190" s="23"/>
      <c r="H190" s="23"/>
      <c r="I190" s="23"/>
      <c r="J190" s="25" t="n">
        <f aca="false">IFERROR(INDEX(Precios!$C$2:$D$25,MATCH($D190,Precios!$A$2:$A$25,0),IF($F190="Transferencia",2,1)),0)</f>
        <v>0</v>
      </c>
      <c r="K190" s="25" t="n">
        <f aca="false">E190*J190</f>
        <v>0</v>
      </c>
    </row>
    <row r="191" customFormat="false" ht="15" hidden="false" customHeight="true" outlineLevel="0" collapsed="false">
      <c r="A191" s="21" t="str">
        <f aca="false">IF($D191="","",ROW()-1)</f>
        <v/>
      </c>
      <c r="B191" s="17"/>
      <c r="C191" s="22"/>
      <c r="D191" s="23"/>
      <c r="E191" s="24" t="n">
        <v>1</v>
      </c>
      <c r="F191" s="23"/>
      <c r="G191" s="23"/>
      <c r="H191" s="23"/>
      <c r="I191" s="23"/>
      <c r="J191" s="25" t="n">
        <f aca="false">IFERROR(INDEX(Precios!$C$2:$D$25,MATCH($D191,Precios!$A$2:$A$25,0),IF($F191="Transferencia",2,1)),0)</f>
        <v>0</v>
      </c>
      <c r="K191" s="25" t="n">
        <f aca="false">E191*J191</f>
        <v>0</v>
      </c>
    </row>
    <row r="192" customFormat="false" ht="15" hidden="false" customHeight="true" outlineLevel="0" collapsed="false">
      <c r="A192" s="21" t="str">
        <f aca="false">IF($D192="","",ROW()-1)</f>
        <v/>
      </c>
      <c r="B192" s="17"/>
      <c r="C192" s="22"/>
      <c r="D192" s="23"/>
      <c r="E192" s="24" t="n">
        <v>1</v>
      </c>
      <c r="F192" s="23"/>
      <c r="G192" s="23"/>
      <c r="H192" s="23"/>
      <c r="I192" s="23"/>
      <c r="J192" s="25" t="n">
        <f aca="false">IFERROR(INDEX(Precios!$C$2:$D$25,MATCH($D192,Precios!$A$2:$A$25,0),IF($F192="Transferencia",2,1)),0)</f>
        <v>0</v>
      </c>
      <c r="K192" s="25" t="n">
        <f aca="false">E192*J192</f>
        <v>0</v>
      </c>
    </row>
    <row r="193" customFormat="false" ht="15" hidden="false" customHeight="true" outlineLevel="0" collapsed="false">
      <c r="A193" s="21" t="str">
        <f aca="false">IF($D193="","",ROW()-1)</f>
        <v/>
      </c>
      <c r="B193" s="17"/>
      <c r="C193" s="22"/>
      <c r="D193" s="23"/>
      <c r="E193" s="24" t="n">
        <v>1</v>
      </c>
      <c r="F193" s="23"/>
      <c r="G193" s="23"/>
      <c r="H193" s="23"/>
      <c r="I193" s="23"/>
      <c r="J193" s="25" t="n">
        <f aca="false">IFERROR(INDEX(Precios!$C$2:$D$25,MATCH($D193,Precios!$A$2:$A$25,0),IF($F193="Transferencia",2,1)),0)</f>
        <v>0</v>
      </c>
      <c r="K193" s="25" t="n">
        <f aca="false">E193*J193</f>
        <v>0</v>
      </c>
    </row>
    <row r="194" customFormat="false" ht="15" hidden="false" customHeight="true" outlineLevel="0" collapsed="false">
      <c r="A194" s="21" t="str">
        <f aca="false">IF($D194="","",ROW()-1)</f>
        <v/>
      </c>
      <c r="B194" s="17"/>
      <c r="C194" s="22"/>
      <c r="D194" s="23"/>
      <c r="E194" s="24" t="n">
        <v>1</v>
      </c>
      <c r="F194" s="23"/>
      <c r="G194" s="23"/>
      <c r="H194" s="23"/>
      <c r="I194" s="23"/>
      <c r="J194" s="25" t="n">
        <f aca="false">IFERROR(INDEX(Precios!$C$2:$D$25,MATCH($D194,Precios!$A$2:$A$25,0),IF($F194="Transferencia",2,1)),0)</f>
        <v>0</v>
      </c>
      <c r="K194" s="25" t="n">
        <f aca="false">E194*J194</f>
        <v>0</v>
      </c>
    </row>
    <row r="195" customFormat="false" ht="15" hidden="false" customHeight="true" outlineLevel="0" collapsed="false">
      <c r="A195" s="21" t="str">
        <f aca="false">IF($D195="","",ROW()-1)</f>
        <v/>
      </c>
      <c r="B195" s="17"/>
      <c r="C195" s="22"/>
      <c r="D195" s="23"/>
      <c r="E195" s="24" t="n">
        <v>1</v>
      </c>
      <c r="F195" s="23"/>
      <c r="G195" s="23"/>
      <c r="H195" s="23"/>
      <c r="I195" s="23"/>
      <c r="J195" s="25" t="n">
        <f aca="false">IFERROR(INDEX(Precios!$C$2:$D$25,MATCH($D195,Precios!$A$2:$A$25,0),IF($F195="Transferencia",2,1)),0)</f>
        <v>0</v>
      </c>
      <c r="K195" s="25" t="n">
        <f aca="false">E195*J195</f>
        <v>0</v>
      </c>
    </row>
    <row r="196" customFormat="false" ht="15" hidden="false" customHeight="true" outlineLevel="0" collapsed="false">
      <c r="A196" s="21" t="str">
        <f aca="false">IF($D196="","",ROW()-1)</f>
        <v/>
      </c>
      <c r="B196" s="17"/>
      <c r="C196" s="22"/>
      <c r="D196" s="23"/>
      <c r="E196" s="24" t="n">
        <v>1</v>
      </c>
      <c r="F196" s="23"/>
      <c r="G196" s="23"/>
      <c r="H196" s="23"/>
      <c r="I196" s="23"/>
      <c r="J196" s="25" t="n">
        <f aca="false">IFERROR(INDEX(Precios!$C$2:$D$25,MATCH($D196,Precios!$A$2:$A$25,0),IF($F196="Transferencia",2,1)),0)</f>
        <v>0</v>
      </c>
      <c r="K196" s="25" t="n">
        <f aca="false">E196*J196</f>
        <v>0</v>
      </c>
    </row>
    <row r="197" customFormat="false" ht="15" hidden="false" customHeight="true" outlineLevel="0" collapsed="false">
      <c r="A197" s="21" t="str">
        <f aca="false">IF($D197="","",ROW()-1)</f>
        <v/>
      </c>
      <c r="B197" s="17"/>
      <c r="C197" s="22"/>
      <c r="D197" s="23"/>
      <c r="E197" s="24" t="n">
        <v>1</v>
      </c>
      <c r="F197" s="23"/>
      <c r="G197" s="23"/>
      <c r="H197" s="23"/>
      <c r="I197" s="23"/>
      <c r="J197" s="25" t="n">
        <f aca="false">IFERROR(INDEX(Precios!$C$2:$D$25,MATCH($D197,Precios!$A$2:$A$25,0),IF($F197="Transferencia",2,1)),0)</f>
        <v>0</v>
      </c>
      <c r="K197" s="25" t="n">
        <f aca="false">E197*J197</f>
        <v>0</v>
      </c>
    </row>
    <row r="198" customFormat="false" ht="15" hidden="false" customHeight="true" outlineLevel="0" collapsed="false">
      <c r="A198" s="21" t="str">
        <f aca="false">IF($D198="","",ROW()-1)</f>
        <v/>
      </c>
      <c r="B198" s="17"/>
      <c r="C198" s="22"/>
      <c r="D198" s="23"/>
      <c r="E198" s="24" t="n">
        <v>1</v>
      </c>
      <c r="F198" s="23"/>
      <c r="G198" s="23"/>
      <c r="H198" s="23"/>
      <c r="I198" s="23"/>
      <c r="J198" s="25" t="n">
        <f aca="false">IFERROR(INDEX(Precios!$C$2:$D$25,MATCH($D198,Precios!$A$2:$A$25,0),IF($F198="Transferencia",2,1)),0)</f>
        <v>0</v>
      </c>
      <c r="K198" s="25" t="n">
        <f aca="false">E198*J198</f>
        <v>0</v>
      </c>
    </row>
    <row r="199" customFormat="false" ht="15" hidden="false" customHeight="true" outlineLevel="0" collapsed="false">
      <c r="A199" s="21" t="str">
        <f aca="false">IF($D199="","",ROW()-1)</f>
        <v/>
      </c>
      <c r="B199" s="17"/>
      <c r="C199" s="22"/>
      <c r="D199" s="23"/>
      <c r="E199" s="24" t="n">
        <v>1</v>
      </c>
      <c r="F199" s="23"/>
      <c r="G199" s="23"/>
      <c r="H199" s="23"/>
      <c r="I199" s="23"/>
      <c r="J199" s="25" t="n">
        <f aca="false">IFERROR(INDEX(Precios!$C$2:$D$25,MATCH($D199,Precios!$A$2:$A$25,0),IF($F199="Transferencia",2,1)),0)</f>
        <v>0</v>
      </c>
      <c r="K199" s="25" t="n">
        <f aca="false">E199*J199</f>
        <v>0</v>
      </c>
    </row>
    <row r="200" customFormat="false" ht="15" hidden="false" customHeight="true" outlineLevel="0" collapsed="false">
      <c r="A200" s="21" t="str">
        <f aca="false">IF($D200="","",ROW()-1)</f>
        <v/>
      </c>
      <c r="B200" s="17"/>
      <c r="C200" s="22"/>
      <c r="D200" s="23"/>
      <c r="E200" s="24" t="n">
        <v>1</v>
      </c>
      <c r="F200" s="23"/>
      <c r="G200" s="23"/>
      <c r="H200" s="23"/>
      <c r="I200" s="23"/>
      <c r="J200" s="25" t="n">
        <f aca="false">IFERROR(INDEX(Precios!$C$2:$D$25,MATCH($D200,Precios!$A$2:$A$25,0),IF($F200="Transferencia",2,1)),0)</f>
        <v>0</v>
      </c>
      <c r="K200" s="25" t="n">
        <f aca="false">E200*J200</f>
        <v>0</v>
      </c>
    </row>
    <row r="201" customFormat="false" ht="15" hidden="false" customHeight="true" outlineLevel="0" collapsed="false">
      <c r="A201" s="21" t="str">
        <f aca="false">IF($D201="","",ROW()-1)</f>
        <v/>
      </c>
      <c r="B201" s="17"/>
      <c r="C201" s="22"/>
      <c r="D201" s="23"/>
      <c r="E201" s="24" t="n">
        <v>1</v>
      </c>
      <c r="F201" s="23"/>
      <c r="G201" s="23"/>
      <c r="H201" s="23"/>
      <c r="I201" s="23"/>
      <c r="J201" s="25" t="n">
        <f aca="false">IFERROR(INDEX(Precios!$C$2:$D$25,MATCH($D201,Precios!$A$2:$A$25,0),IF($F201="Transferencia",2,1)),0)</f>
        <v>0</v>
      </c>
      <c r="K201" s="25" t="n">
        <f aca="false">E201*J201</f>
        <v>0</v>
      </c>
    </row>
    <row r="202" customFormat="false" ht="15" hidden="false" customHeight="true" outlineLevel="0" collapsed="false">
      <c r="A202" s="21" t="str">
        <f aca="false">IF($D202="","",ROW()-1)</f>
        <v/>
      </c>
      <c r="B202" s="17"/>
      <c r="C202" s="22"/>
      <c r="D202" s="23"/>
      <c r="E202" s="24" t="n">
        <v>1</v>
      </c>
      <c r="F202" s="23"/>
      <c r="G202" s="23"/>
      <c r="H202" s="23"/>
      <c r="I202" s="23"/>
      <c r="J202" s="25" t="n">
        <f aca="false">IFERROR(INDEX(Precios!$C$2:$D$25,MATCH($D202,Precios!$A$2:$A$25,0),IF($F202="Transferencia",2,1)),0)</f>
        <v>0</v>
      </c>
      <c r="K202" s="25" t="n">
        <f aca="false">E202*J202</f>
        <v>0</v>
      </c>
    </row>
    <row r="203" customFormat="false" ht="15" hidden="false" customHeight="true" outlineLevel="0" collapsed="false">
      <c r="A203" s="21" t="str">
        <f aca="false">IF($D203="","",ROW()-1)</f>
        <v/>
      </c>
      <c r="B203" s="17"/>
      <c r="C203" s="22"/>
      <c r="D203" s="23"/>
      <c r="E203" s="24" t="n">
        <v>1</v>
      </c>
      <c r="F203" s="23"/>
      <c r="G203" s="23"/>
      <c r="H203" s="23"/>
      <c r="I203" s="23"/>
      <c r="J203" s="25" t="n">
        <f aca="false">IFERROR(INDEX(Precios!$C$2:$D$25,MATCH($D203,Precios!$A$2:$A$25,0),IF($F203="Transferencia",2,1)),0)</f>
        <v>0</v>
      </c>
      <c r="K203" s="25" t="n">
        <f aca="false">E203*J203</f>
        <v>0</v>
      </c>
    </row>
    <row r="204" customFormat="false" ht="15" hidden="false" customHeight="true" outlineLevel="0" collapsed="false">
      <c r="A204" s="21" t="str">
        <f aca="false">IF($D204="","",ROW()-1)</f>
        <v/>
      </c>
      <c r="B204" s="17"/>
      <c r="C204" s="22"/>
      <c r="D204" s="23"/>
      <c r="E204" s="24" t="n">
        <v>1</v>
      </c>
      <c r="F204" s="23"/>
      <c r="G204" s="23"/>
      <c r="H204" s="23"/>
      <c r="I204" s="23"/>
      <c r="J204" s="25" t="n">
        <f aca="false">IFERROR(INDEX(Precios!$C$2:$D$25,MATCH($D204,Precios!$A$2:$A$25,0),IF($F204="Transferencia",2,1)),0)</f>
        <v>0</v>
      </c>
      <c r="K204" s="25" t="n">
        <f aca="false">E204*J204</f>
        <v>0</v>
      </c>
    </row>
    <row r="205" customFormat="false" ht="15" hidden="false" customHeight="true" outlineLevel="0" collapsed="false">
      <c r="A205" s="21" t="str">
        <f aca="false">IF($D205="","",ROW()-1)</f>
        <v/>
      </c>
      <c r="B205" s="17"/>
      <c r="C205" s="22"/>
      <c r="D205" s="23"/>
      <c r="E205" s="24" t="n">
        <v>1</v>
      </c>
      <c r="F205" s="23"/>
      <c r="G205" s="23"/>
      <c r="H205" s="23"/>
      <c r="I205" s="23"/>
      <c r="J205" s="25" t="n">
        <f aca="false">IFERROR(INDEX(Precios!$C$2:$D$25,MATCH($D205,Precios!$A$2:$A$25,0),IF($F205="Transferencia",2,1)),0)</f>
        <v>0</v>
      </c>
      <c r="K205" s="25" t="n">
        <f aca="false">E205*J205</f>
        <v>0</v>
      </c>
    </row>
    <row r="206" customFormat="false" ht="15" hidden="false" customHeight="true" outlineLevel="0" collapsed="false">
      <c r="A206" s="21" t="str">
        <f aca="false">IF($D206="","",ROW()-1)</f>
        <v/>
      </c>
      <c r="B206" s="17"/>
      <c r="C206" s="22"/>
      <c r="D206" s="23"/>
      <c r="E206" s="24" t="n">
        <v>1</v>
      </c>
      <c r="F206" s="23"/>
      <c r="G206" s="23"/>
      <c r="H206" s="23"/>
      <c r="I206" s="23"/>
      <c r="J206" s="25" t="n">
        <f aca="false">IFERROR(INDEX(Precios!$C$2:$D$25,MATCH($D206,Precios!$A$2:$A$25,0),IF($F206="Transferencia",2,1)),0)</f>
        <v>0</v>
      </c>
      <c r="K206" s="25" t="n">
        <f aca="false">E206*J206</f>
        <v>0</v>
      </c>
    </row>
    <row r="207" customFormat="false" ht="15" hidden="false" customHeight="true" outlineLevel="0" collapsed="false">
      <c r="A207" s="21" t="str">
        <f aca="false">IF($D207="","",ROW()-1)</f>
        <v/>
      </c>
      <c r="B207" s="17"/>
      <c r="C207" s="22"/>
      <c r="D207" s="23"/>
      <c r="E207" s="24" t="n">
        <v>1</v>
      </c>
      <c r="F207" s="23"/>
      <c r="G207" s="23"/>
      <c r="H207" s="23"/>
      <c r="I207" s="23"/>
      <c r="J207" s="25" t="n">
        <f aca="false">IFERROR(INDEX(Precios!$C$2:$D$25,MATCH($D207,Precios!$A$2:$A$25,0),IF($F207="Transferencia",2,1)),0)</f>
        <v>0</v>
      </c>
      <c r="K207" s="25" t="n">
        <f aca="false">E207*J207</f>
        <v>0</v>
      </c>
    </row>
    <row r="208" customFormat="false" ht="15" hidden="false" customHeight="true" outlineLevel="0" collapsed="false">
      <c r="A208" s="21" t="str">
        <f aca="false">IF($D208="","",ROW()-1)</f>
        <v/>
      </c>
      <c r="B208" s="17"/>
      <c r="C208" s="22"/>
      <c r="D208" s="23"/>
      <c r="E208" s="24" t="n">
        <v>1</v>
      </c>
      <c r="F208" s="23"/>
      <c r="G208" s="23"/>
      <c r="H208" s="23"/>
      <c r="I208" s="23"/>
      <c r="J208" s="25" t="n">
        <f aca="false">IFERROR(INDEX(Precios!$C$2:$D$25,MATCH($D208,Precios!$A$2:$A$25,0),IF($F208="Transferencia",2,1)),0)</f>
        <v>0</v>
      </c>
      <c r="K208" s="25" t="n">
        <f aca="false">E208*J208</f>
        <v>0</v>
      </c>
    </row>
    <row r="209" customFormat="false" ht="15" hidden="false" customHeight="true" outlineLevel="0" collapsed="false">
      <c r="A209" s="21" t="str">
        <f aca="false">IF($D209="","",ROW()-1)</f>
        <v/>
      </c>
      <c r="B209" s="17"/>
      <c r="C209" s="22"/>
      <c r="D209" s="23"/>
      <c r="E209" s="24" t="n">
        <v>1</v>
      </c>
      <c r="F209" s="23"/>
      <c r="G209" s="23"/>
      <c r="H209" s="23"/>
      <c r="I209" s="23"/>
      <c r="J209" s="25" t="n">
        <f aca="false">IFERROR(INDEX(Precios!$C$2:$D$25,MATCH($D209,Precios!$A$2:$A$25,0),IF($F209="Transferencia",2,1)),0)</f>
        <v>0</v>
      </c>
      <c r="K209" s="25" t="n">
        <f aca="false">E209*J209</f>
        <v>0</v>
      </c>
    </row>
    <row r="210" customFormat="false" ht="15" hidden="false" customHeight="true" outlineLevel="0" collapsed="false">
      <c r="A210" s="21" t="str">
        <f aca="false">IF($D210="","",ROW()-1)</f>
        <v/>
      </c>
      <c r="B210" s="17"/>
      <c r="C210" s="22"/>
      <c r="D210" s="23"/>
      <c r="E210" s="24" t="n">
        <v>1</v>
      </c>
      <c r="F210" s="23"/>
      <c r="G210" s="23"/>
      <c r="H210" s="23"/>
      <c r="I210" s="23"/>
      <c r="J210" s="25" t="n">
        <f aca="false">IFERROR(INDEX(Precios!$C$2:$D$25,MATCH($D210,Precios!$A$2:$A$25,0),IF($F210="Transferencia",2,1)),0)</f>
        <v>0</v>
      </c>
      <c r="K210" s="25" t="n">
        <f aca="false">E210*J210</f>
        <v>0</v>
      </c>
    </row>
    <row r="211" customFormat="false" ht="15" hidden="false" customHeight="true" outlineLevel="0" collapsed="false">
      <c r="A211" s="21" t="str">
        <f aca="false">IF($D211="","",ROW()-1)</f>
        <v/>
      </c>
      <c r="B211" s="17"/>
      <c r="C211" s="22"/>
      <c r="D211" s="23"/>
      <c r="E211" s="24" t="n">
        <v>1</v>
      </c>
      <c r="F211" s="23"/>
      <c r="G211" s="23"/>
      <c r="H211" s="23"/>
      <c r="I211" s="23"/>
      <c r="J211" s="25" t="n">
        <f aca="false">IFERROR(INDEX(Precios!$C$2:$D$25,MATCH($D211,Precios!$A$2:$A$25,0),IF($F211="Transferencia",2,1)),0)</f>
        <v>0</v>
      </c>
      <c r="K211" s="25" t="n">
        <f aca="false">E211*J211</f>
        <v>0</v>
      </c>
    </row>
    <row r="212" customFormat="false" ht="15" hidden="false" customHeight="true" outlineLevel="0" collapsed="false">
      <c r="A212" s="21" t="str">
        <f aca="false">IF($D212="","",ROW()-1)</f>
        <v/>
      </c>
      <c r="B212" s="17"/>
      <c r="C212" s="22"/>
      <c r="D212" s="23"/>
      <c r="E212" s="24" t="n">
        <v>1</v>
      </c>
      <c r="F212" s="23"/>
      <c r="G212" s="23"/>
      <c r="H212" s="23"/>
      <c r="I212" s="23"/>
      <c r="J212" s="25" t="n">
        <f aca="false">IFERROR(INDEX(Precios!$C$2:$D$25,MATCH($D212,Precios!$A$2:$A$25,0),IF($F212="Transferencia",2,1)),0)</f>
        <v>0</v>
      </c>
      <c r="K212" s="25" t="n">
        <f aca="false">E212*J212</f>
        <v>0</v>
      </c>
    </row>
    <row r="213" customFormat="false" ht="15" hidden="false" customHeight="true" outlineLevel="0" collapsed="false">
      <c r="A213" s="21" t="str">
        <f aca="false">IF($D213="","",ROW()-1)</f>
        <v/>
      </c>
      <c r="B213" s="17"/>
      <c r="C213" s="22"/>
      <c r="D213" s="23"/>
      <c r="E213" s="24" t="n">
        <v>1</v>
      </c>
      <c r="F213" s="23"/>
      <c r="G213" s="23"/>
      <c r="H213" s="23"/>
      <c r="I213" s="23"/>
      <c r="J213" s="25" t="n">
        <f aca="false">IFERROR(INDEX(Precios!$C$2:$D$25,MATCH($D213,Precios!$A$2:$A$25,0),IF($F213="Transferencia",2,1)),0)</f>
        <v>0</v>
      </c>
      <c r="K213" s="25" t="n">
        <f aca="false">E213*J213</f>
        <v>0</v>
      </c>
    </row>
    <row r="214" customFormat="false" ht="15" hidden="false" customHeight="true" outlineLevel="0" collapsed="false">
      <c r="A214" s="21" t="str">
        <f aca="false">IF($D214="","",ROW()-1)</f>
        <v/>
      </c>
      <c r="B214" s="17"/>
      <c r="C214" s="22"/>
      <c r="D214" s="23"/>
      <c r="E214" s="24" t="n">
        <v>1</v>
      </c>
      <c r="F214" s="23"/>
      <c r="G214" s="23"/>
      <c r="H214" s="23"/>
      <c r="I214" s="23"/>
      <c r="J214" s="25" t="n">
        <f aca="false">IFERROR(INDEX(Precios!$C$2:$D$25,MATCH($D214,Precios!$A$2:$A$25,0),IF($F214="Transferencia",2,1)),0)</f>
        <v>0</v>
      </c>
      <c r="K214" s="25" t="n">
        <f aca="false">E214*J214</f>
        <v>0</v>
      </c>
    </row>
    <row r="215" customFormat="false" ht="15" hidden="false" customHeight="true" outlineLevel="0" collapsed="false">
      <c r="A215" s="21" t="str">
        <f aca="false">IF($D215="","",ROW()-1)</f>
        <v/>
      </c>
      <c r="B215" s="17"/>
      <c r="C215" s="22"/>
      <c r="D215" s="23"/>
      <c r="E215" s="24" t="n">
        <v>1</v>
      </c>
      <c r="F215" s="23"/>
      <c r="G215" s="23"/>
      <c r="H215" s="23"/>
      <c r="I215" s="23"/>
      <c r="J215" s="25" t="n">
        <f aca="false">IFERROR(INDEX(Precios!$C$2:$D$25,MATCH($D215,Precios!$A$2:$A$25,0),IF($F215="Transferencia",2,1)),0)</f>
        <v>0</v>
      </c>
      <c r="K215" s="25" t="n">
        <f aca="false">E215*J215</f>
        <v>0</v>
      </c>
    </row>
    <row r="216" customFormat="false" ht="15" hidden="false" customHeight="true" outlineLevel="0" collapsed="false">
      <c r="A216" s="21" t="str">
        <f aca="false">IF($D216="","",ROW()-1)</f>
        <v/>
      </c>
      <c r="B216" s="17"/>
      <c r="C216" s="22"/>
      <c r="D216" s="23"/>
      <c r="E216" s="24" t="n">
        <v>1</v>
      </c>
      <c r="F216" s="23"/>
      <c r="G216" s="23"/>
      <c r="H216" s="23"/>
      <c r="I216" s="23"/>
      <c r="J216" s="25" t="n">
        <f aca="false">IFERROR(INDEX(Precios!$C$2:$D$25,MATCH($D216,Precios!$A$2:$A$25,0),IF($F216="Transferencia",2,1)),0)</f>
        <v>0</v>
      </c>
      <c r="K216" s="25" t="n">
        <f aca="false">E216*J216</f>
        <v>0</v>
      </c>
    </row>
    <row r="217" customFormat="false" ht="15" hidden="false" customHeight="true" outlineLevel="0" collapsed="false">
      <c r="A217" s="21" t="str">
        <f aca="false">IF($D217="","",ROW()-1)</f>
        <v/>
      </c>
      <c r="B217" s="17"/>
      <c r="C217" s="22"/>
      <c r="D217" s="23"/>
      <c r="E217" s="24" t="n">
        <v>1</v>
      </c>
      <c r="F217" s="23"/>
      <c r="G217" s="23"/>
      <c r="H217" s="23"/>
      <c r="I217" s="23"/>
      <c r="J217" s="25" t="n">
        <f aca="false">IFERROR(INDEX(Precios!$C$2:$D$25,MATCH($D217,Precios!$A$2:$A$25,0),IF($F217="Transferencia",2,1)),0)</f>
        <v>0</v>
      </c>
      <c r="K217" s="25" t="n">
        <f aca="false">E217*J217</f>
        <v>0</v>
      </c>
    </row>
    <row r="218" customFormat="false" ht="15" hidden="false" customHeight="true" outlineLevel="0" collapsed="false">
      <c r="A218" s="21" t="str">
        <f aca="false">IF($D218="","",ROW()-1)</f>
        <v/>
      </c>
      <c r="B218" s="17"/>
      <c r="C218" s="22"/>
      <c r="D218" s="23"/>
      <c r="E218" s="24" t="n">
        <v>1</v>
      </c>
      <c r="F218" s="23"/>
      <c r="G218" s="23"/>
      <c r="H218" s="23"/>
      <c r="I218" s="23"/>
      <c r="J218" s="25" t="n">
        <f aca="false">IFERROR(INDEX(Precios!$C$2:$D$25,MATCH($D218,Precios!$A$2:$A$25,0),IF($F218="Transferencia",2,1)),0)</f>
        <v>0</v>
      </c>
      <c r="K218" s="25" t="n">
        <f aca="false">E218*J218</f>
        <v>0</v>
      </c>
    </row>
    <row r="219" customFormat="false" ht="15" hidden="false" customHeight="true" outlineLevel="0" collapsed="false">
      <c r="A219" s="21" t="str">
        <f aca="false">IF($D219="","",ROW()-1)</f>
        <v/>
      </c>
      <c r="B219" s="17"/>
      <c r="C219" s="22"/>
      <c r="D219" s="23"/>
      <c r="E219" s="24" t="n">
        <v>1</v>
      </c>
      <c r="F219" s="23"/>
      <c r="G219" s="23"/>
      <c r="H219" s="23"/>
      <c r="I219" s="23"/>
      <c r="J219" s="25" t="n">
        <f aca="false">IFERROR(INDEX(Precios!$C$2:$D$25,MATCH($D219,Precios!$A$2:$A$25,0),IF($F219="Transferencia",2,1)),0)</f>
        <v>0</v>
      </c>
      <c r="K219" s="25" t="n">
        <f aca="false">E219*J219</f>
        <v>0</v>
      </c>
    </row>
    <row r="220" customFormat="false" ht="15" hidden="false" customHeight="true" outlineLevel="0" collapsed="false">
      <c r="A220" s="21" t="str">
        <f aca="false">IF($D220="","",ROW()-1)</f>
        <v/>
      </c>
      <c r="B220" s="17"/>
      <c r="C220" s="22"/>
      <c r="D220" s="23"/>
      <c r="E220" s="24" t="n">
        <v>1</v>
      </c>
      <c r="F220" s="23"/>
      <c r="G220" s="23"/>
      <c r="H220" s="23"/>
      <c r="I220" s="23"/>
      <c r="J220" s="25" t="n">
        <f aca="false">IFERROR(INDEX(Precios!$C$2:$D$25,MATCH($D220,Precios!$A$2:$A$25,0),IF($F220="Transferencia",2,1)),0)</f>
        <v>0</v>
      </c>
      <c r="K220" s="25" t="n">
        <f aca="false">E220*J220</f>
        <v>0</v>
      </c>
    </row>
    <row r="221" customFormat="false" ht="15" hidden="false" customHeight="true" outlineLevel="0" collapsed="false">
      <c r="A221" s="21" t="str">
        <f aca="false">IF($D221="","",ROW()-1)</f>
        <v/>
      </c>
      <c r="B221" s="17"/>
      <c r="C221" s="22"/>
      <c r="D221" s="23"/>
      <c r="E221" s="24" t="n">
        <v>1</v>
      </c>
      <c r="F221" s="23"/>
      <c r="G221" s="23"/>
      <c r="H221" s="23"/>
      <c r="I221" s="23"/>
      <c r="J221" s="25" t="n">
        <f aca="false">IFERROR(INDEX(Precios!$C$2:$D$25,MATCH($D221,Precios!$A$2:$A$25,0),IF($F221="Transferencia",2,1)),0)</f>
        <v>0</v>
      </c>
      <c r="K221" s="25" t="n">
        <f aca="false">E221*J221</f>
        <v>0</v>
      </c>
    </row>
    <row r="222" customFormat="false" ht="15" hidden="false" customHeight="true" outlineLevel="0" collapsed="false">
      <c r="A222" s="21" t="str">
        <f aca="false">IF($D222="","",ROW()-1)</f>
        <v/>
      </c>
      <c r="B222" s="17"/>
      <c r="C222" s="22"/>
      <c r="D222" s="23"/>
      <c r="E222" s="24" t="n">
        <v>1</v>
      </c>
      <c r="F222" s="23"/>
      <c r="G222" s="23"/>
      <c r="H222" s="23"/>
      <c r="I222" s="23"/>
      <c r="J222" s="25" t="n">
        <f aca="false">IFERROR(INDEX(Precios!$C$2:$D$25,MATCH($D222,Precios!$A$2:$A$25,0),IF($F222="Transferencia",2,1)),0)</f>
        <v>0</v>
      </c>
      <c r="K222" s="25" t="n">
        <f aca="false">E222*J222</f>
        <v>0</v>
      </c>
    </row>
    <row r="223" customFormat="false" ht="15" hidden="false" customHeight="true" outlineLevel="0" collapsed="false">
      <c r="A223" s="21" t="str">
        <f aca="false">IF($D223="","",ROW()-1)</f>
        <v/>
      </c>
      <c r="B223" s="17"/>
      <c r="C223" s="22"/>
      <c r="D223" s="23"/>
      <c r="E223" s="24" t="n">
        <v>1</v>
      </c>
      <c r="F223" s="23"/>
      <c r="G223" s="23"/>
      <c r="H223" s="23"/>
      <c r="I223" s="23"/>
      <c r="J223" s="25" t="n">
        <f aca="false">IFERROR(INDEX(Precios!$C$2:$D$25,MATCH($D223,Precios!$A$2:$A$25,0),IF($F223="Transferencia",2,1)),0)</f>
        <v>0</v>
      </c>
      <c r="K223" s="25" t="n">
        <f aca="false">E223*J223</f>
        <v>0</v>
      </c>
    </row>
    <row r="224" customFormat="false" ht="15" hidden="false" customHeight="true" outlineLevel="0" collapsed="false">
      <c r="A224" s="21" t="str">
        <f aca="false">IF($D224="","",ROW()-1)</f>
        <v/>
      </c>
      <c r="B224" s="17"/>
      <c r="C224" s="22"/>
      <c r="D224" s="23"/>
      <c r="E224" s="24" t="n">
        <v>1</v>
      </c>
      <c r="F224" s="23"/>
      <c r="G224" s="23"/>
      <c r="H224" s="23"/>
      <c r="I224" s="23"/>
      <c r="J224" s="25" t="n">
        <f aca="false">IFERROR(INDEX(Precios!$C$2:$D$25,MATCH($D224,Precios!$A$2:$A$25,0),IF($F224="Transferencia",2,1)),0)</f>
        <v>0</v>
      </c>
      <c r="K224" s="25" t="n">
        <f aca="false">E224*J224</f>
        <v>0</v>
      </c>
    </row>
    <row r="225" customFormat="false" ht="15" hidden="false" customHeight="true" outlineLevel="0" collapsed="false">
      <c r="A225" s="21" t="str">
        <f aca="false">IF($D225="","",ROW()-1)</f>
        <v/>
      </c>
      <c r="B225" s="17"/>
      <c r="C225" s="22"/>
      <c r="D225" s="23"/>
      <c r="E225" s="24" t="n">
        <v>1</v>
      </c>
      <c r="F225" s="23"/>
      <c r="G225" s="23"/>
      <c r="H225" s="23"/>
      <c r="I225" s="23"/>
      <c r="J225" s="25" t="n">
        <f aca="false">IFERROR(INDEX(Precios!$C$2:$D$25,MATCH($D225,Precios!$A$2:$A$25,0),IF($F225="Transferencia",2,1)),0)</f>
        <v>0</v>
      </c>
      <c r="K225" s="25" t="n">
        <f aca="false">E225*J225</f>
        <v>0</v>
      </c>
    </row>
    <row r="226" customFormat="false" ht="15" hidden="false" customHeight="true" outlineLevel="0" collapsed="false">
      <c r="A226" s="21" t="str">
        <f aca="false">IF($D226="","",ROW()-1)</f>
        <v/>
      </c>
      <c r="B226" s="17"/>
      <c r="C226" s="22"/>
      <c r="D226" s="23"/>
      <c r="E226" s="24" t="n">
        <v>1</v>
      </c>
      <c r="F226" s="23"/>
      <c r="G226" s="23"/>
      <c r="H226" s="23"/>
      <c r="I226" s="23"/>
      <c r="J226" s="25" t="n">
        <f aca="false">IFERROR(INDEX(Precios!$C$2:$D$25,MATCH($D226,Precios!$A$2:$A$25,0),IF($F226="Transferencia",2,1)),0)</f>
        <v>0</v>
      </c>
      <c r="K226" s="25" t="n">
        <f aca="false">E226*J226</f>
        <v>0</v>
      </c>
    </row>
    <row r="227" customFormat="false" ht="15" hidden="false" customHeight="true" outlineLevel="0" collapsed="false">
      <c r="A227" s="21" t="str">
        <f aca="false">IF($D227="","",ROW()-1)</f>
        <v/>
      </c>
      <c r="B227" s="17"/>
      <c r="C227" s="22"/>
      <c r="D227" s="23"/>
      <c r="E227" s="24" t="n">
        <v>1</v>
      </c>
      <c r="F227" s="23"/>
      <c r="G227" s="23"/>
      <c r="H227" s="23"/>
      <c r="I227" s="23"/>
      <c r="J227" s="25" t="n">
        <f aca="false">IFERROR(INDEX(Precios!$C$2:$D$25,MATCH($D227,Precios!$A$2:$A$25,0),IF($F227="Transferencia",2,1)),0)</f>
        <v>0</v>
      </c>
      <c r="K227" s="25" t="n">
        <f aca="false">E227*J227</f>
        <v>0</v>
      </c>
    </row>
    <row r="228" customFormat="false" ht="15" hidden="false" customHeight="true" outlineLevel="0" collapsed="false">
      <c r="A228" s="21" t="str">
        <f aca="false">IF($D228="","",ROW()-1)</f>
        <v/>
      </c>
      <c r="B228" s="17"/>
      <c r="C228" s="22"/>
      <c r="D228" s="23"/>
      <c r="E228" s="24" t="n">
        <v>1</v>
      </c>
      <c r="F228" s="23"/>
      <c r="G228" s="23"/>
      <c r="H228" s="23"/>
      <c r="I228" s="23"/>
      <c r="J228" s="25" t="n">
        <f aca="false">IFERROR(INDEX(Precios!$C$2:$D$25,MATCH($D228,Precios!$A$2:$A$25,0),IF($F228="Transferencia",2,1)),0)</f>
        <v>0</v>
      </c>
      <c r="K228" s="25" t="n">
        <f aca="false">E228*J228</f>
        <v>0</v>
      </c>
    </row>
    <row r="229" customFormat="false" ht="15" hidden="false" customHeight="true" outlineLevel="0" collapsed="false">
      <c r="A229" s="21" t="str">
        <f aca="false">IF($D229="","",ROW()-1)</f>
        <v/>
      </c>
      <c r="B229" s="17"/>
      <c r="C229" s="22"/>
      <c r="D229" s="23"/>
      <c r="E229" s="24" t="n">
        <v>1</v>
      </c>
      <c r="F229" s="23"/>
      <c r="G229" s="23"/>
      <c r="H229" s="23"/>
      <c r="I229" s="23"/>
      <c r="J229" s="25" t="n">
        <f aca="false">IFERROR(INDEX(Precios!$C$2:$D$25,MATCH($D229,Precios!$A$2:$A$25,0),IF($F229="Transferencia",2,1)),0)</f>
        <v>0</v>
      </c>
      <c r="K229" s="25" t="n">
        <f aca="false">E229*J229</f>
        <v>0</v>
      </c>
    </row>
    <row r="230" customFormat="false" ht="15" hidden="false" customHeight="true" outlineLevel="0" collapsed="false">
      <c r="A230" s="21" t="str">
        <f aca="false">IF($D230="","",ROW()-1)</f>
        <v/>
      </c>
      <c r="B230" s="17"/>
      <c r="C230" s="22"/>
      <c r="D230" s="23"/>
      <c r="E230" s="24" t="n">
        <v>1</v>
      </c>
      <c r="F230" s="23"/>
      <c r="G230" s="23"/>
      <c r="H230" s="23"/>
      <c r="I230" s="23"/>
      <c r="J230" s="25" t="n">
        <f aca="false">IFERROR(INDEX(Precios!$C$2:$D$25,MATCH($D230,Precios!$A$2:$A$25,0),IF($F230="Transferencia",2,1)),0)</f>
        <v>0</v>
      </c>
      <c r="K230" s="25" t="n">
        <f aca="false">E230*J230</f>
        <v>0</v>
      </c>
    </row>
    <row r="231" customFormat="false" ht="15" hidden="false" customHeight="true" outlineLevel="0" collapsed="false">
      <c r="A231" s="21" t="str">
        <f aca="false">IF($D231="","",ROW()-1)</f>
        <v/>
      </c>
      <c r="B231" s="17"/>
      <c r="C231" s="22"/>
      <c r="D231" s="23"/>
      <c r="E231" s="24" t="n">
        <v>1</v>
      </c>
      <c r="F231" s="23"/>
      <c r="G231" s="23"/>
      <c r="H231" s="23"/>
      <c r="I231" s="23"/>
      <c r="J231" s="25" t="n">
        <f aca="false">IFERROR(INDEX(Precios!$C$2:$D$25,MATCH($D231,Precios!$A$2:$A$25,0),IF($F231="Transferencia",2,1)),0)</f>
        <v>0</v>
      </c>
      <c r="K231" s="25" t="n">
        <f aca="false">E231*J231</f>
        <v>0</v>
      </c>
    </row>
    <row r="232" customFormat="false" ht="15" hidden="false" customHeight="true" outlineLevel="0" collapsed="false">
      <c r="A232" s="21" t="str">
        <f aca="false">IF($D232="","",ROW()-1)</f>
        <v/>
      </c>
      <c r="B232" s="17"/>
      <c r="C232" s="22"/>
      <c r="D232" s="23"/>
      <c r="E232" s="24" t="n">
        <v>1</v>
      </c>
      <c r="F232" s="23"/>
      <c r="G232" s="23"/>
      <c r="H232" s="23"/>
      <c r="I232" s="23"/>
      <c r="J232" s="25" t="n">
        <f aca="false">IFERROR(INDEX(Precios!$C$2:$D$25,MATCH($D232,Precios!$A$2:$A$25,0),IF($F232="Transferencia",2,1)),0)</f>
        <v>0</v>
      </c>
      <c r="K232" s="25" t="n">
        <f aca="false">E232*J232</f>
        <v>0</v>
      </c>
    </row>
    <row r="233" customFormat="false" ht="15" hidden="false" customHeight="true" outlineLevel="0" collapsed="false">
      <c r="A233" s="21" t="str">
        <f aca="false">IF($D233="","",ROW()-1)</f>
        <v/>
      </c>
      <c r="B233" s="17"/>
      <c r="C233" s="22"/>
      <c r="D233" s="23"/>
      <c r="E233" s="24" t="n">
        <v>1</v>
      </c>
      <c r="F233" s="23"/>
      <c r="G233" s="23"/>
      <c r="H233" s="23"/>
      <c r="I233" s="23"/>
      <c r="J233" s="25" t="n">
        <f aca="false">IFERROR(INDEX(Precios!$C$2:$D$25,MATCH($D233,Precios!$A$2:$A$25,0),IF($F233="Transferencia",2,1)),0)</f>
        <v>0</v>
      </c>
      <c r="K233" s="25" t="n">
        <f aca="false">E233*J233</f>
        <v>0</v>
      </c>
    </row>
    <row r="234" customFormat="false" ht="15" hidden="false" customHeight="true" outlineLevel="0" collapsed="false">
      <c r="A234" s="21" t="str">
        <f aca="false">IF($D234="","",ROW()-1)</f>
        <v/>
      </c>
      <c r="B234" s="17"/>
      <c r="C234" s="22"/>
      <c r="D234" s="23"/>
      <c r="E234" s="24" t="n">
        <v>1</v>
      </c>
      <c r="F234" s="23"/>
      <c r="G234" s="23"/>
      <c r="H234" s="23"/>
      <c r="I234" s="23"/>
      <c r="J234" s="25" t="n">
        <f aca="false">IFERROR(INDEX(Precios!$C$2:$D$25,MATCH($D234,Precios!$A$2:$A$25,0),IF($F234="Transferencia",2,1)),0)</f>
        <v>0</v>
      </c>
      <c r="K234" s="25" t="n">
        <f aca="false">E234*J234</f>
        <v>0</v>
      </c>
    </row>
    <row r="235" customFormat="false" ht="15" hidden="false" customHeight="true" outlineLevel="0" collapsed="false">
      <c r="A235" s="21" t="str">
        <f aca="false">IF($D235="","",ROW()-1)</f>
        <v/>
      </c>
      <c r="B235" s="17"/>
      <c r="C235" s="22"/>
      <c r="D235" s="23"/>
      <c r="E235" s="24" t="n">
        <v>1</v>
      </c>
      <c r="F235" s="23"/>
      <c r="G235" s="23"/>
      <c r="H235" s="23"/>
      <c r="I235" s="23"/>
      <c r="J235" s="25" t="n">
        <f aca="false">IFERROR(INDEX(Precios!$C$2:$D$25,MATCH($D235,Precios!$A$2:$A$25,0),IF($F235="Transferencia",2,1)),0)</f>
        <v>0</v>
      </c>
      <c r="K235" s="25" t="n">
        <f aca="false">E235*J235</f>
        <v>0</v>
      </c>
    </row>
    <row r="236" customFormat="false" ht="15" hidden="false" customHeight="true" outlineLevel="0" collapsed="false">
      <c r="A236" s="21" t="str">
        <f aca="false">IF($D236="","",ROW()-1)</f>
        <v/>
      </c>
      <c r="B236" s="17"/>
      <c r="C236" s="22"/>
      <c r="D236" s="23"/>
      <c r="E236" s="24" t="n">
        <v>1</v>
      </c>
      <c r="F236" s="23"/>
      <c r="G236" s="23"/>
      <c r="H236" s="23"/>
      <c r="I236" s="23"/>
      <c r="J236" s="25" t="n">
        <f aca="false">IFERROR(INDEX(Precios!$C$2:$D$25,MATCH($D236,Precios!$A$2:$A$25,0),IF($F236="Transferencia",2,1)),0)</f>
        <v>0</v>
      </c>
      <c r="K236" s="25" t="n">
        <f aca="false">E236*J236</f>
        <v>0</v>
      </c>
    </row>
    <row r="237" customFormat="false" ht="15" hidden="false" customHeight="true" outlineLevel="0" collapsed="false">
      <c r="A237" s="21" t="str">
        <f aca="false">IF($D237="","",ROW()-1)</f>
        <v/>
      </c>
      <c r="B237" s="17"/>
      <c r="C237" s="22"/>
      <c r="D237" s="23"/>
      <c r="E237" s="24" t="n">
        <v>1</v>
      </c>
      <c r="F237" s="23"/>
      <c r="G237" s="23"/>
      <c r="H237" s="23"/>
      <c r="I237" s="23"/>
      <c r="J237" s="25" t="n">
        <f aca="false">IFERROR(INDEX(Precios!$C$2:$D$25,MATCH($D237,Precios!$A$2:$A$25,0),IF($F237="Transferencia",2,1)),0)</f>
        <v>0</v>
      </c>
      <c r="K237" s="25" t="n">
        <f aca="false">E237*J237</f>
        <v>0</v>
      </c>
    </row>
    <row r="238" customFormat="false" ht="15" hidden="false" customHeight="true" outlineLevel="0" collapsed="false">
      <c r="A238" s="21" t="str">
        <f aca="false">IF($D238="","",ROW()-1)</f>
        <v/>
      </c>
      <c r="B238" s="17"/>
      <c r="C238" s="22"/>
      <c r="D238" s="23"/>
      <c r="E238" s="24" t="n">
        <v>1</v>
      </c>
      <c r="F238" s="23"/>
      <c r="G238" s="23"/>
      <c r="H238" s="23"/>
      <c r="I238" s="23"/>
      <c r="J238" s="25" t="n">
        <f aca="false">IFERROR(INDEX(Precios!$C$2:$D$25,MATCH($D238,Precios!$A$2:$A$25,0),IF($F238="Transferencia",2,1)),0)</f>
        <v>0</v>
      </c>
      <c r="K238" s="25" t="n">
        <f aca="false">E238*J238</f>
        <v>0</v>
      </c>
    </row>
    <row r="239" customFormat="false" ht="15" hidden="false" customHeight="true" outlineLevel="0" collapsed="false">
      <c r="A239" s="21" t="str">
        <f aca="false">IF($D239="","",ROW()-1)</f>
        <v/>
      </c>
      <c r="B239" s="17"/>
      <c r="C239" s="22"/>
      <c r="D239" s="23"/>
      <c r="E239" s="24" t="n">
        <v>1</v>
      </c>
      <c r="F239" s="23"/>
      <c r="G239" s="23"/>
      <c r="H239" s="23"/>
      <c r="I239" s="23"/>
      <c r="J239" s="25" t="n">
        <f aca="false">IFERROR(INDEX(Precios!$C$2:$D$25,MATCH($D239,Precios!$A$2:$A$25,0),IF($F239="Transferencia",2,1)),0)</f>
        <v>0</v>
      </c>
      <c r="K239" s="25" t="n">
        <f aca="false">E239*J239</f>
        <v>0</v>
      </c>
    </row>
    <row r="240" customFormat="false" ht="15" hidden="false" customHeight="true" outlineLevel="0" collapsed="false">
      <c r="A240" s="21" t="str">
        <f aca="false">IF($D240="","",ROW()-1)</f>
        <v/>
      </c>
      <c r="B240" s="17"/>
      <c r="C240" s="22"/>
      <c r="D240" s="23"/>
      <c r="E240" s="24" t="n">
        <v>1</v>
      </c>
      <c r="F240" s="23"/>
      <c r="G240" s="23"/>
      <c r="H240" s="23"/>
      <c r="I240" s="23"/>
      <c r="J240" s="25" t="n">
        <f aca="false">IFERROR(INDEX(Precios!$C$2:$D$25,MATCH($D240,Precios!$A$2:$A$25,0),IF($F240="Transferencia",2,1)),0)</f>
        <v>0</v>
      </c>
      <c r="K240" s="25" t="n">
        <f aca="false">E240*J240</f>
        <v>0</v>
      </c>
    </row>
    <row r="241" customFormat="false" ht="15" hidden="false" customHeight="true" outlineLevel="0" collapsed="false">
      <c r="A241" s="21" t="str">
        <f aca="false">IF($D241="","",ROW()-1)</f>
        <v/>
      </c>
      <c r="B241" s="17"/>
      <c r="C241" s="22"/>
      <c r="D241" s="23"/>
      <c r="E241" s="24" t="n">
        <v>1</v>
      </c>
      <c r="F241" s="23"/>
      <c r="G241" s="23"/>
      <c r="H241" s="23"/>
      <c r="I241" s="23"/>
      <c r="J241" s="25" t="n">
        <f aca="false">IFERROR(INDEX(Precios!$C$2:$D$25,MATCH($D241,Precios!$A$2:$A$25,0),IF($F241="Transferencia",2,1)),0)</f>
        <v>0</v>
      </c>
      <c r="K241" s="25" t="n">
        <f aca="false">E241*J241</f>
        <v>0</v>
      </c>
    </row>
    <row r="242" customFormat="false" ht="15" hidden="false" customHeight="true" outlineLevel="0" collapsed="false">
      <c r="A242" s="21" t="str">
        <f aca="false">IF($D242="","",ROW()-1)</f>
        <v/>
      </c>
      <c r="B242" s="17"/>
      <c r="C242" s="22"/>
      <c r="D242" s="23"/>
      <c r="E242" s="24" t="n">
        <v>1</v>
      </c>
      <c r="F242" s="23"/>
      <c r="G242" s="23"/>
      <c r="H242" s="23"/>
      <c r="I242" s="23"/>
      <c r="J242" s="25" t="n">
        <f aca="false">IFERROR(INDEX(Precios!$C$2:$D$25,MATCH($D242,Precios!$A$2:$A$25,0),IF($F242="Transferencia",2,1)),0)</f>
        <v>0</v>
      </c>
      <c r="K242" s="25" t="n">
        <f aca="false">E242*J242</f>
        <v>0</v>
      </c>
    </row>
    <row r="243" customFormat="false" ht="15" hidden="false" customHeight="true" outlineLevel="0" collapsed="false">
      <c r="A243" s="21" t="str">
        <f aca="false">IF($D243="","",ROW()-1)</f>
        <v/>
      </c>
      <c r="B243" s="17"/>
      <c r="C243" s="22"/>
      <c r="D243" s="23"/>
      <c r="E243" s="24" t="n">
        <v>1</v>
      </c>
      <c r="F243" s="23"/>
      <c r="G243" s="23"/>
      <c r="H243" s="23"/>
      <c r="I243" s="23"/>
      <c r="J243" s="25" t="n">
        <f aca="false">IFERROR(INDEX(Precios!$C$2:$D$25,MATCH($D243,Precios!$A$2:$A$25,0),IF($F243="Transferencia",2,1)),0)</f>
        <v>0</v>
      </c>
      <c r="K243" s="25" t="n">
        <f aca="false">E243*J243</f>
        <v>0</v>
      </c>
    </row>
    <row r="244" customFormat="false" ht="15" hidden="false" customHeight="true" outlineLevel="0" collapsed="false">
      <c r="A244" s="21" t="str">
        <f aca="false">IF($D244="","",ROW()-1)</f>
        <v/>
      </c>
      <c r="B244" s="17"/>
      <c r="C244" s="22"/>
      <c r="D244" s="23"/>
      <c r="E244" s="24" t="n">
        <v>1</v>
      </c>
      <c r="F244" s="23"/>
      <c r="G244" s="23"/>
      <c r="H244" s="23"/>
      <c r="I244" s="23"/>
      <c r="J244" s="25" t="n">
        <f aca="false">IFERROR(INDEX(Precios!$C$2:$D$25,MATCH($D244,Precios!$A$2:$A$25,0),IF($F244="Transferencia",2,1)),0)</f>
        <v>0</v>
      </c>
      <c r="K244" s="25" t="n">
        <f aca="false">E244*J244</f>
        <v>0</v>
      </c>
    </row>
    <row r="245" customFormat="false" ht="15" hidden="false" customHeight="true" outlineLevel="0" collapsed="false">
      <c r="A245" s="21" t="str">
        <f aca="false">IF($D245="","",ROW()-1)</f>
        <v/>
      </c>
      <c r="B245" s="17"/>
      <c r="C245" s="22"/>
      <c r="D245" s="23"/>
      <c r="E245" s="24" t="n">
        <v>1</v>
      </c>
      <c r="F245" s="23"/>
      <c r="G245" s="23"/>
      <c r="H245" s="23"/>
      <c r="I245" s="23"/>
      <c r="J245" s="25" t="n">
        <f aca="false">IFERROR(INDEX(Precios!$C$2:$D$25,MATCH($D245,Precios!$A$2:$A$25,0),IF($F245="Transferencia",2,1)),0)</f>
        <v>0</v>
      </c>
      <c r="K245" s="25" t="n">
        <f aca="false">E245*J245</f>
        <v>0</v>
      </c>
    </row>
    <row r="246" customFormat="false" ht="15" hidden="false" customHeight="true" outlineLevel="0" collapsed="false">
      <c r="A246" s="21" t="str">
        <f aca="false">IF($D246="","",ROW()-1)</f>
        <v/>
      </c>
      <c r="B246" s="17"/>
      <c r="C246" s="22"/>
      <c r="D246" s="23"/>
      <c r="E246" s="24" t="n">
        <v>1</v>
      </c>
      <c r="F246" s="23"/>
      <c r="G246" s="23"/>
      <c r="H246" s="23"/>
      <c r="I246" s="23"/>
      <c r="J246" s="25" t="n">
        <f aca="false">IFERROR(INDEX(Precios!$C$2:$D$25,MATCH($D246,Precios!$A$2:$A$25,0),IF($F246="Transferencia",2,1)),0)</f>
        <v>0</v>
      </c>
      <c r="K246" s="25" t="n">
        <f aca="false">E246*J246</f>
        <v>0</v>
      </c>
    </row>
    <row r="247" customFormat="false" ht="15" hidden="false" customHeight="true" outlineLevel="0" collapsed="false">
      <c r="A247" s="21" t="str">
        <f aca="false">IF($D247="","",ROW()-1)</f>
        <v/>
      </c>
      <c r="B247" s="17"/>
      <c r="C247" s="22"/>
      <c r="D247" s="23"/>
      <c r="E247" s="24" t="n">
        <v>1</v>
      </c>
      <c r="F247" s="23"/>
      <c r="G247" s="23"/>
      <c r="H247" s="23"/>
      <c r="I247" s="23"/>
      <c r="J247" s="25" t="n">
        <f aca="false">IFERROR(INDEX(Precios!$C$2:$D$25,MATCH($D247,Precios!$A$2:$A$25,0),IF($F247="Transferencia",2,1)),0)</f>
        <v>0</v>
      </c>
      <c r="K247" s="25" t="n">
        <f aca="false">E247*J247</f>
        <v>0</v>
      </c>
    </row>
    <row r="248" customFormat="false" ht="15" hidden="false" customHeight="true" outlineLevel="0" collapsed="false">
      <c r="A248" s="21" t="str">
        <f aca="false">IF($D248="","",ROW()-1)</f>
        <v/>
      </c>
      <c r="B248" s="17"/>
      <c r="C248" s="22"/>
      <c r="D248" s="23"/>
      <c r="E248" s="24" t="n">
        <v>1</v>
      </c>
      <c r="F248" s="23"/>
      <c r="G248" s="23"/>
      <c r="H248" s="23"/>
      <c r="I248" s="23"/>
      <c r="J248" s="25" t="n">
        <f aca="false">IFERROR(INDEX(Precios!$C$2:$D$25,MATCH($D248,Precios!$A$2:$A$25,0),IF($F248="Transferencia",2,1)),0)</f>
        <v>0</v>
      </c>
      <c r="K248" s="25" t="n">
        <f aca="false">E248*J248</f>
        <v>0</v>
      </c>
    </row>
    <row r="249" customFormat="false" ht="15" hidden="false" customHeight="true" outlineLevel="0" collapsed="false">
      <c r="A249" s="21" t="str">
        <f aca="false">IF($D249="","",ROW()-1)</f>
        <v/>
      </c>
      <c r="B249" s="17"/>
      <c r="C249" s="22"/>
      <c r="D249" s="23"/>
      <c r="E249" s="24" t="n">
        <v>1</v>
      </c>
      <c r="F249" s="23"/>
      <c r="G249" s="23"/>
      <c r="H249" s="23"/>
      <c r="I249" s="23"/>
      <c r="J249" s="25" t="n">
        <f aca="false">IFERROR(INDEX(Precios!$C$2:$D$25,MATCH($D249,Precios!$A$2:$A$25,0),IF($F249="Transferencia",2,1)),0)</f>
        <v>0</v>
      </c>
      <c r="K249" s="25" t="n">
        <f aca="false">E249*J249</f>
        <v>0</v>
      </c>
    </row>
    <row r="250" customFormat="false" ht="15" hidden="false" customHeight="true" outlineLevel="0" collapsed="false">
      <c r="A250" s="21" t="str">
        <f aca="false">IF($D250="","",ROW()-1)</f>
        <v/>
      </c>
      <c r="B250" s="17"/>
      <c r="C250" s="22"/>
      <c r="D250" s="23"/>
      <c r="E250" s="24" t="n">
        <v>1</v>
      </c>
      <c r="F250" s="23"/>
      <c r="G250" s="23"/>
      <c r="H250" s="23"/>
      <c r="I250" s="23"/>
      <c r="J250" s="25" t="n">
        <f aca="false">IFERROR(INDEX(Precios!$C$2:$D$25,MATCH($D250,Precios!$A$2:$A$25,0),IF($F250="Transferencia",2,1)),0)</f>
        <v>0</v>
      </c>
      <c r="K250" s="25" t="n">
        <f aca="false">E250*J250</f>
        <v>0</v>
      </c>
    </row>
    <row r="251" customFormat="false" ht="15" hidden="false" customHeight="true" outlineLevel="0" collapsed="false">
      <c r="A251" s="21" t="str">
        <f aca="false">IF($D251="","",ROW()-1)</f>
        <v/>
      </c>
      <c r="B251" s="17"/>
      <c r="C251" s="22"/>
      <c r="D251" s="23"/>
      <c r="E251" s="24" t="n">
        <v>1</v>
      </c>
      <c r="F251" s="23"/>
      <c r="G251" s="23"/>
      <c r="H251" s="23"/>
      <c r="I251" s="23"/>
      <c r="J251" s="25" t="n">
        <f aca="false">IFERROR(INDEX(Precios!$C$2:$D$25,MATCH($D251,Precios!$A$2:$A$25,0),IF($F251="Transferencia",2,1)),0)</f>
        <v>0</v>
      </c>
      <c r="K251" s="25" t="n">
        <f aca="false">E251*J251</f>
        <v>0</v>
      </c>
    </row>
    <row r="252" customFormat="false" ht="15" hidden="false" customHeight="true" outlineLevel="0" collapsed="false">
      <c r="A252" s="21" t="str">
        <f aca="false">IF($D252="","",ROW()-1)</f>
        <v/>
      </c>
      <c r="B252" s="17"/>
      <c r="C252" s="22"/>
      <c r="D252" s="23"/>
      <c r="E252" s="24" t="n">
        <v>1</v>
      </c>
      <c r="F252" s="23"/>
      <c r="G252" s="23"/>
      <c r="H252" s="23"/>
      <c r="I252" s="23"/>
      <c r="J252" s="25" t="n">
        <f aca="false">IFERROR(INDEX(Precios!$C$2:$D$25,MATCH($D252,Precios!$A$2:$A$25,0),IF($F252="Transferencia",2,1)),0)</f>
        <v>0</v>
      </c>
      <c r="K252" s="25" t="n">
        <f aca="false">E252*J252</f>
        <v>0</v>
      </c>
    </row>
    <row r="253" customFormat="false" ht="15" hidden="false" customHeight="true" outlineLevel="0" collapsed="false">
      <c r="A253" s="21" t="str">
        <f aca="false">IF($D253="","",ROW()-1)</f>
        <v/>
      </c>
      <c r="B253" s="17"/>
      <c r="C253" s="22"/>
      <c r="D253" s="23"/>
      <c r="E253" s="24" t="n">
        <v>1</v>
      </c>
      <c r="F253" s="23"/>
      <c r="G253" s="23"/>
      <c r="H253" s="23"/>
      <c r="I253" s="23"/>
      <c r="J253" s="25" t="n">
        <f aca="false">IFERROR(INDEX(Precios!$C$2:$D$25,MATCH($D253,Precios!$A$2:$A$25,0),IF($F253="Transferencia",2,1)),0)</f>
        <v>0</v>
      </c>
      <c r="K253" s="25" t="n">
        <f aca="false">E253*J253</f>
        <v>0</v>
      </c>
    </row>
    <row r="254" customFormat="false" ht="15" hidden="false" customHeight="true" outlineLevel="0" collapsed="false">
      <c r="A254" s="21" t="str">
        <f aca="false">IF($D254="","",ROW()-1)</f>
        <v/>
      </c>
      <c r="B254" s="17"/>
      <c r="C254" s="22"/>
      <c r="D254" s="23"/>
      <c r="E254" s="24" t="n">
        <v>1</v>
      </c>
      <c r="F254" s="23"/>
      <c r="G254" s="23"/>
      <c r="H254" s="23"/>
      <c r="I254" s="23"/>
      <c r="J254" s="25" t="n">
        <f aca="false">IFERROR(INDEX(Precios!$C$2:$D$25,MATCH($D254,Precios!$A$2:$A$25,0),IF($F254="Transferencia",2,1)),0)</f>
        <v>0</v>
      </c>
      <c r="K254" s="25" t="n">
        <f aca="false">E254*J254</f>
        <v>0</v>
      </c>
    </row>
    <row r="255" customFormat="false" ht="15" hidden="false" customHeight="true" outlineLevel="0" collapsed="false">
      <c r="A255" s="21" t="str">
        <f aca="false">IF($D255="","",ROW()-1)</f>
        <v/>
      </c>
      <c r="B255" s="17"/>
      <c r="C255" s="22"/>
      <c r="D255" s="23"/>
      <c r="E255" s="24" t="n">
        <v>1</v>
      </c>
      <c r="F255" s="23"/>
      <c r="G255" s="23"/>
      <c r="H255" s="23"/>
      <c r="I255" s="23"/>
      <c r="J255" s="25" t="n">
        <f aca="false">IFERROR(INDEX(Precios!$C$2:$D$25,MATCH($D255,Precios!$A$2:$A$25,0),IF($F255="Transferencia",2,1)),0)</f>
        <v>0</v>
      </c>
      <c r="K255" s="25" t="n">
        <f aca="false">E255*J255</f>
        <v>0</v>
      </c>
    </row>
    <row r="256" customFormat="false" ht="15" hidden="false" customHeight="true" outlineLevel="0" collapsed="false">
      <c r="A256" s="21" t="str">
        <f aca="false">IF($D256="","",ROW()-1)</f>
        <v/>
      </c>
      <c r="B256" s="17"/>
      <c r="C256" s="22"/>
      <c r="D256" s="23"/>
      <c r="E256" s="24" t="n">
        <v>1</v>
      </c>
      <c r="F256" s="23"/>
      <c r="G256" s="23"/>
      <c r="H256" s="23"/>
      <c r="I256" s="23"/>
      <c r="J256" s="25" t="n">
        <f aca="false">IFERROR(INDEX(Precios!$C$2:$D$25,MATCH($D256,Precios!$A$2:$A$25,0),IF($F256="Transferencia",2,1)),0)</f>
        <v>0</v>
      </c>
      <c r="K256" s="25" t="n">
        <f aca="false">E256*J256</f>
        <v>0</v>
      </c>
    </row>
    <row r="257" customFormat="false" ht="15" hidden="false" customHeight="true" outlineLevel="0" collapsed="false">
      <c r="A257" s="21" t="str">
        <f aca="false">IF($D257="","",ROW()-1)</f>
        <v/>
      </c>
      <c r="B257" s="17"/>
      <c r="C257" s="22"/>
      <c r="D257" s="23"/>
      <c r="E257" s="24" t="n">
        <v>1</v>
      </c>
      <c r="F257" s="23"/>
      <c r="G257" s="23"/>
      <c r="H257" s="23"/>
      <c r="I257" s="23"/>
      <c r="J257" s="25" t="n">
        <f aca="false">IFERROR(INDEX(Precios!$C$2:$D$25,MATCH($D257,Precios!$A$2:$A$25,0),IF($F257="Transferencia",2,1)),0)</f>
        <v>0</v>
      </c>
      <c r="K257" s="25" t="n">
        <f aca="false">E257*J257</f>
        <v>0</v>
      </c>
    </row>
    <row r="258" customFormat="false" ht="15" hidden="false" customHeight="true" outlineLevel="0" collapsed="false">
      <c r="A258" s="21" t="str">
        <f aca="false">IF($D258="","",ROW()-1)</f>
        <v/>
      </c>
      <c r="B258" s="17"/>
      <c r="C258" s="22"/>
      <c r="D258" s="23"/>
      <c r="E258" s="24" t="n">
        <v>1</v>
      </c>
      <c r="F258" s="23"/>
      <c r="G258" s="23"/>
      <c r="H258" s="23"/>
      <c r="I258" s="23"/>
      <c r="J258" s="25" t="n">
        <f aca="false">IFERROR(INDEX(Precios!$C$2:$D$25,MATCH($D258,Precios!$A$2:$A$25,0),IF($F258="Transferencia",2,1)),0)</f>
        <v>0</v>
      </c>
      <c r="K258" s="25" t="n">
        <f aca="false">E258*J258</f>
        <v>0</v>
      </c>
    </row>
    <row r="259" customFormat="false" ht="15" hidden="false" customHeight="true" outlineLevel="0" collapsed="false">
      <c r="A259" s="21" t="str">
        <f aca="false">IF($D259="","",ROW()-1)</f>
        <v/>
      </c>
      <c r="B259" s="17"/>
      <c r="C259" s="22"/>
      <c r="D259" s="23"/>
      <c r="E259" s="24" t="n">
        <v>1</v>
      </c>
      <c r="F259" s="23"/>
      <c r="G259" s="23"/>
      <c r="H259" s="23"/>
      <c r="I259" s="23"/>
      <c r="J259" s="25" t="n">
        <f aca="false">IFERROR(INDEX(Precios!$C$2:$D$25,MATCH($D259,Precios!$A$2:$A$25,0),IF($F259="Transferencia",2,1)),0)</f>
        <v>0</v>
      </c>
      <c r="K259" s="25" t="n">
        <f aca="false">E259*J259</f>
        <v>0</v>
      </c>
    </row>
    <row r="260" customFormat="false" ht="15" hidden="false" customHeight="true" outlineLevel="0" collapsed="false">
      <c r="A260" s="21" t="str">
        <f aca="false">IF($D260="","",ROW()-1)</f>
        <v/>
      </c>
      <c r="B260" s="17"/>
      <c r="C260" s="22"/>
      <c r="D260" s="23"/>
      <c r="E260" s="24" t="n">
        <v>1</v>
      </c>
      <c r="F260" s="23"/>
      <c r="G260" s="23"/>
      <c r="H260" s="23"/>
      <c r="I260" s="23"/>
      <c r="J260" s="25" t="n">
        <f aca="false">IFERROR(INDEX(Precios!$C$2:$D$25,MATCH($D260,Precios!$A$2:$A$25,0),IF($F260="Transferencia",2,1)),0)</f>
        <v>0</v>
      </c>
      <c r="K260" s="25" t="n">
        <f aca="false">E260*J260</f>
        <v>0</v>
      </c>
    </row>
    <row r="261" customFormat="false" ht="15" hidden="false" customHeight="true" outlineLevel="0" collapsed="false">
      <c r="A261" s="21" t="str">
        <f aca="false">IF($D261="","",ROW()-1)</f>
        <v/>
      </c>
      <c r="B261" s="17"/>
      <c r="C261" s="22"/>
      <c r="D261" s="23"/>
      <c r="E261" s="24" t="n">
        <v>1</v>
      </c>
      <c r="F261" s="23"/>
      <c r="G261" s="23"/>
      <c r="H261" s="23"/>
      <c r="I261" s="23"/>
      <c r="J261" s="25" t="n">
        <f aca="false">IFERROR(INDEX(Precios!$C$2:$D$25,MATCH($D261,Precios!$A$2:$A$25,0),IF($F261="Transferencia",2,1)),0)</f>
        <v>0</v>
      </c>
      <c r="K261" s="25" t="n">
        <f aca="false">E261*J261</f>
        <v>0</v>
      </c>
    </row>
    <row r="262" customFormat="false" ht="15" hidden="false" customHeight="true" outlineLevel="0" collapsed="false">
      <c r="A262" s="21" t="str">
        <f aca="false">IF($D262="","",ROW()-1)</f>
        <v/>
      </c>
      <c r="B262" s="17"/>
      <c r="C262" s="22"/>
      <c r="D262" s="23"/>
      <c r="E262" s="24" t="n">
        <v>1</v>
      </c>
      <c r="F262" s="23"/>
      <c r="G262" s="23"/>
      <c r="H262" s="23"/>
      <c r="I262" s="23"/>
      <c r="J262" s="25" t="n">
        <f aca="false">IFERROR(INDEX(Precios!$C$2:$D$25,MATCH($D262,Precios!$A$2:$A$25,0),IF($F262="Transferencia",2,1)),0)</f>
        <v>0</v>
      </c>
      <c r="K262" s="25" t="n">
        <f aca="false">E262*J262</f>
        <v>0</v>
      </c>
    </row>
    <row r="263" customFormat="false" ht="15" hidden="false" customHeight="true" outlineLevel="0" collapsed="false">
      <c r="A263" s="21" t="str">
        <f aca="false">IF($D263="","",ROW()-1)</f>
        <v/>
      </c>
      <c r="B263" s="17"/>
      <c r="C263" s="22"/>
      <c r="D263" s="23"/>
      <c r="E263" s="24" t="n">
        <v>1</v>
      </c>
      <c r="F263" s="23"/>
      <c r="G263" s="23"/>
      <c r="H263" s="23"/>
      <c r="I263" s="23"/>
      <c r="J263" s="25" t="n">
        <f aca="false">IFERROR(INDEX(Precios!$C$2:$D$25,MATCH($D263,Precios!$A$2:$A$25,0),IF($F263="Transferencia",2,1)),0)</f>
        <v>0</v>
      </c>
      <c r="K263" s="25" t="n">
        <f aca="false">E263*J263</f>
        <v>0</v>
      </c>
    </row>
    <row r="264" customFormat="false" ht="15" hidden="false" customHeight="true" outlineLevel="0" collapsed="false">
      <c r="A264" s="21" t="str">
        <f aca="false">IF($D264="","",ROW()-1)</f>
        <v/>
      </c>
      <c r="B264" s="17"/>
      <c r="C264" s="22"/>
      <c r="D264" s="23"/>
      <c r="E264" s="24" t="n">
        <v>1</v>
      </c>
      <c r="F264" s="23"/>
      <c r="G264" s="23"/>
      <c r="H264" s="23"/>
      <c r="I264" s="23"/>
      <c r="J264" s="25" t="n">
        <f aca="false">IFERROR(INDEX(Precios!$C$2:$D$25,MATCH($D264,Precios!$A$2:$A$25,0),IF($F264="Transferencia",2,1)),0)</f>
        <v>0</v>
      </c>
      <c r="K264" s="25" t="n">
        <f aca="false">E264*J264</f>
        <v>0</v>
      </c>
    </row>
    <row r="265" customFormat="false" ht="15" hidden="false" customHeight="true" outlineLevel="0" collapsed="false">
      <c r="A265" s="21" t="str">
        <f aca="false">IF($D265="","",ROW()-1)</f>
        <v/>
      </c>
      <c r="B265" s="17"/>
      <c r="C265" s="22"/>
      <c r="D265" s="23"/>
      <c r="E265" s="24" t="n">
        <v>1</v>
      </c>
      <c r="F265" s="23"/>
      <c r="G265" s="23"/>
      <c r="H265" s="23"/>
      <c r="I265" s="23"/>
      <c r="J265" s="25" t="n">
        <f aca="false">IFERROR(INDEX(Precios!$C$2:$D$25,MATCH($D265,Precios!$A$2:$A$25,0),IF($F265="Transferencia",2,1)),0)</f>
        <v>0</v>
      </c>
      <c r="K265" s="25" t="n">
        <f aca="false">E265*J265</f>
        <v>0</v>
      </c>
    </row>
    <row r="266" customFormat="false" ht="15" hidden="false" customHeight="true" outlineLevel="0" collapsed="false">
      <c r="A266" s="21" t="str">
        <f aca="false">IF($D266="","",ROW()-1)</f>
        <v/>
      </c>
      <c r="B266" s="17"/>
      <c r="C266" s="22"/>
      <c r="D266" s="23"/>
      <c r="E266" s="24" t="n">
        <v>1</v>
      </c>
      <c r="F266" s="23"/>
      <c r="G266" s="23"/>
      <c r="H266" s="23"/>
      <c r="I266" s="23"/>
      <c r="J266" s="25" t="n">
        <f aca="false">IFERROR(INDEX(Precios!$C$2:$D$25,MATCH($D266,Precios!$A$2:$A$25,0),IF($F266="Transferencia",2,1)),0)</f>
        <v>0</v>
      </c>
      <c r="K266" s="25" t="n">
        <f aca="false">E266*J266</f>
        <v>0</v>
      </c>
    </row>
    <row r="267" customFormat="false" ht="15" hidden="false" customHeight="true" outlineLevel="0" collapsed="false">
      <c r="A267" s="21" t="str">
        <f aca="false">IF($D267="","",ROW()-1)</f>
        <v/>
      </c>
      <c r="B267" s="17"/>
      <c r="C267" s="22"/>
      <c r="D267" s="23"/>
      <c r="E267" s="24" t="n">
        <v>1</v>
      </c>
      <c r="F267" s="23"/>
      <c r="G267" s="23"/>
      <c r="H267" s="23"/>
      <c r="I267" s="23"/>
      <c r="J267" s="25" t="n">
        <f aca="false">IFERROR(INDEX(Precios!$C$2:$D$25,MATCH($D267,Precios!$A$2:$A$25,0),IF($F267="Transferencia",2,1)),0)</f>
        <v>0</v>
      </c>
      <c r="K267" s="25" t="n">
        <f aca="false">E267*J267</f>
        <v>0</v>
      </c>
    </row>
    <row r="268" customFormat="false" ht="15" hidden="false" customHeight="true" outlineLevel="0" collapsed="false">
      <c r="A268" s="21" t="str">
        <f aca="false">IF($D268="","",ROW()-1)</f>
        <v/>
      </c>
      <c r="B268" s="17"/>
      <c r="C268" s="22"/>
      <c r="D268" s="23"/>
      <c r="E268" s="24" t="n">
        <v>1</v>
      </c>
      <c r="F268" s="23"/>
      <c r="G268" s="23"/>
      <c r="H268" s="23"/>
      <c r="I268" s="23"/>
      <c r="J268" s="25" t="n">
        <f aca="false">IFERROR(INDEX(Precios!$C$2:$D$25,MATCH($D268,Precios!$A$2:$A$25,0),IF($F268="Transferencia",2,1)),0)</f>
        <v>0</v>
      </c>
      <c r="K268" s="25" t="n">
        <f aca="false">E268*J268</f>
        <v>0</v>
      </c>
    </row>
    <row r="269" customFormat="false" ht="15" hidden="false" customHeight="true" outlineLevel="0" collapsed="false">
      <c r="A269" s="21" t="str">
        <f aca="false">IF($D269="","",ROW()-1)</f>
        <v/>
      </c>
      <c r="B269" s="17"/>
      <c r="C269" s="22"/>
      <c r="D269" s="23"/>
      <c r="E269" s="24" t="n">
        <v>1</v>
      </c>
      <c r="F269" s="23"/>
      <c r="G269" s="23"/>
      <c r="H269" s="23"/>
      <c r="I269" s="23"/>
      <c r="J269" s="25" t="n">
        <f aca="false">IFERROR(INDEX(Precios!$C$2:$D$25,MATCH($D269,Precios!$A$2:$A$25,0),IF($F269="Transferencia",2,1)),0)</f>
        <v>0</v>
      </c>
      <c r="K269" s="25" t="n">
        <f aca="false">E269*J269</f>
        <v>0</v>
      </c>
    </row>
    <row r="270" customFormat="false" ht="15" hidden="false" customHeight="true" outlineLevel="0" collapsed="false">
      <c r="A270" s="21" t="str">
        <f aca="false">IF($D270="","",ROW()-1)</f>
        <v/>
      </c>
      <c r="B270" s="17"/>
      <c r="C270" s="22"/>
      <c r="D270" s="23"/>
      <c r="E270" s="24" t="n">
        <v>1</v>
      </c>
      <c r="F270" s="23"/>
      <c r="G270" s="23"/>
      <c r="H270" s="23"/>
      <c r="I270" s="23"/>
      <c r="J270" s="25" t="n">
        <f aca="false">IFERROR(INDEX(Precios!$C$2:$D$25,MATCH($D270,Precios!$A$2:$A$25,0),IF($F270="Transferencia",2,1)),0)</f>
        <v>0</v>
      </c>
      <c r="K270" s="25" t="n">
        <f aca="false">E270*J270</f>
        <v>0</v>
      </c>
    </row>
    <row r="271" customFormat="false" ht="15" hidden="false" customHeight="true" outlineLevel="0" collapsed="false">
      <c r="A271" s="21" t="str">
        <f aca="false">IF($D271="","",ROW()-1)</f>
        <v/>
      </c>
      <c r="B271" s="17"/>
      <c r="C271" s="22"/>
      <c r="D271" s="23"/>
      <c r="E271" s="24" t="n">
        <v>1</v>
      </c>
      <c r="F271" s="23"/>
      <c r="G271" s="23"/>
      <c r="H271" s="23"/>
      <c r="I271" s="23"/>
      <c r="J271" s="25" t="n">
        <f aca="false">IFERROR(INDEX(Precios!$C$2:$D$25,MATCH($D271,Precios!$A$2:$A$25,0),IF($F271="Transferencia",2,1)),0)</f>
        <v>0</v>
      </c>
      <c r="K271" s="25" t="n">
        <f aca="false">E271*J271</f>
        <v>0</v>
      </c>
    </row>
    <row r="272" customFormat="false" ht="15" hidden="false" customHeight="true" outlineLevel="0" collapsed="false">
      <c r="A272" s="21" t="str">
        <f aca="false">IF($D272="","",ROW()-1)</f>
        <v/>
      </c>
      <c r="B272" s="17"/>
      <c r="C272" s="22"/>
      <c r="D272" s="23"/>
      <c r="E272" s="24" t="n">
        <v>1</v>
      </c>
      <c r="F272" s="23"/>
      <c r="G272" s="23"/>
      <c r="H272" s="23"/>
      <c r="I272" s="23"/>
      <c r="J272" s="25" t="n">
        <f aca="false">IFERROR(INDEX(Precios!$C$2:$D$25,MATCH($D272,Precios!$A$2:$A$25,0),IF($F272="Transferencia",2,1)),0)</f>
        <v>0</v>
      </c>
      <c r="K272" s="25" t="n">
        <f aca="false">E272*J272</f>
        <v>0</v>
      </c>
    </row>
    <row r="273" customFormat="false" ht="15" hidden="false" customHeight="true" outlineLevel="0" collapsed="false">
      <c r="A273" s="21" t="str">
        <f aca="false">IF($D273="","",ROW()-1)</f>
        <v/>
      </c>
      <c r="B273" s="17"/>
      <c r="C273" s="22"/>
      <c r="D273" s="23"/>
      <c r="E273" s="24" t="n">
        <v>1</v>
      </c>
      <c r="F273" s="23"/>
      <c r="G273" s="23"/>
      <c r="H273" s="23"/>
      <c r="I273" s="23"/>
      <c r="J273" s="25" t="n">
        <f aca="false">IFERROR(INDEX(Precios!$C$2:$D$25,MATCH($D273,Precios!$A$2:$A$25,0),IF($F273="Transferencia",2,1)),0)</f>
        <v>0</v>
      </c>
      <c r="K273" s="25" t="n">
        <f aca="false">E273*J273</f>
        <v>0</v>
      </c>
    </row>
    <row r="274" customFormat="false" ht="15" hidden="false" customHeight="true" outlineLevel="0" collapsed="false">
      <c r="A274" s="21" t="str">
        <f aca="false">IF($D274="","",ROW()-1)</f>
        <v/>
      </c>
      <c r="B274" s="17"/>
      <c r="C274" s="22"/>
      <c r="D274" s="23"/>
      <c r="E274" s="24" t="n">
        <v>1</v>
      </c>
      <c r="F274" s="23"/>
      <c r="G274" s="23"/>
      <c r="H274" s="23"/>
      <c r="I274" s="23"/>
      <c r="J274" s="25" t="n">
        <f aca="false">IFERROR(INDEX(Precios!$C$2:$D$25,MATCH($D274,Precios!$A$2:$A$25,0),IF($F274="Transferencia",2,1)),0)</f>
        <v>0</v>
      </c>
      <c r="K274" s="25" t="n">
        <f aca="false">E274*J274</f>
        <v>0</v>
      </c>
    </row>
    <row r="275" customFormat="false" ht="15" hidden="false" customHeight="true" outlineLevel="0" collapsed="false">
      <c r="A275" s="21" t="str">
        <f aca="false">IF($D275="","",ROW()-1)</f>
        <v/>
      </c>
      <c r="B275" s="17"/>
      <c r="C275" s="22"/>
      <c r="D275" s="23"/>
      <c r="E275" s="24" t="n">
        <v>1</v>
      </c>
      <c r="F275" s="23"/>
      <c r="G275" s="23"/>
      <c r="H275" s="23"/>
      <c r="I275" s="23"/>
      <c r="J275" s="25" t="n">
        <f aca="false">IFERROR(INDEX(Precios!$C$2:$D$25,MATCH($D275,Precios!$A$2:$A$25,0),IF($F275="Transferencia",2,1)),0)</f>
        <v>0</v>
      </c>
      <c r="K275" s="25" t="n">
        <f aca="false">E275*J275</f>
        <v>0</v>
      </c>
    </row>
    <row r="276" customFormat="false" ht="15" hidden="false" customHeight="true" outlineLevel="0" collapsed="false">
      <c r="A276" s="21" t="str">
        <f aca="false">IF($D276="","",ROW()-1)</f>
        <v/>
      </c>
      <c r="B276" s="17"/>
      <c r="C276" s="22"/>
      <c r="D276" s="23"/>
      <c r="E276" s="24" t="n">
        <v>1</v>
      </c>
      <c r="F276" s="23"/>
      <c r="G276" s="23"/>
      <c r="H276" s="23"/>
      <c r="I276" s="23"/>
      <c r="J276" s="25" t="n">
        <f aca="false">IFERROR(INDEX(Precios!$C$2:$D$25,MATCH($D276,Precios!$A$2:$A$25,0),IF($F276="Transferencia",2,1)),0)</f>
        <v>0</v>
      </c>
      <c r="K276" s="25" t="n">
        <f aca="false">E276*J276</f>
        <v>0</v>
      </c>
    </row>
    <row r="277" customFormat="false" ht="15" hidden="false" customHeight="true" outlineLevel="0" collapsed="false">
      <c r="A277" s="21" t="str">
        <f aca="false">IF($D277="","",ROW()-1)</f>
        <v/>
      </c>
      <c r="B277" s="17"/>
      <c r="C277" s="22"/>
      <c r="D277" s="23"/>
      <c r="E277" s="24" t="n">
        <v>1</v>
      </c>
      <c r="F277" s="23"/>
      <c r="G277" s="23"/>
      <c r="H277" s="23"/>
      <c r="I277" s="23"/>
      <c r="J277" s="25" t="n">
        <f aca="false">IFERROR(INDEX(Precios!$C$2:$D$25,MATCH($D277,Precios!$A$2:$A$25,0),IF($F277="Transferencia",2,1)),0)</f>
        <v>0</v>
      </c>
      <c r="K277" s="25" t="n">
        <f aca="false">E277*J277</f>
        <v>0</v>
      </c>
    </row>
    <row r="278" customFormat="false" ht="15" hidden="false" customHeight="true" outlineLevel="0" collapsed="false">
      <c r="A278" s="21" t="str">
        <f aca="false">IF($D278="","",ROW()-1)</f>
        <v/>
      </c>
      <c r="B278" s="17"/>
      <c r="C278" s="22"/>
      <c r="D278" s="23"/>
      <c r="E278" s="24" t="n">
        <v>1</v>
      </c>
      <c r="F278" s="23"/>
      <c r="G278" s="23"/>
      <c r="H278" s="23"/>
      <c r="I278" s="23"/>
      <c r="J278" s="25" t="n">
        <f aca="false">IFERROR(INDEX(Precios!$C$2:$D$25,MATCH($D278,Precios!$A$2:$A$25,0),IF($F278="Transferencia",2,1)),0)</f>
        <v>0</v>
      </c>
      <c r="K278" s="25" t="n">
        <f aca="false">E278*J278</f>
        <v>0</v>
      </c>
    </row>
    <row r="279" customFormat="false" ht="15" hidden="false" customHeight="true" outlineLevel="0" collapsed="false">
      <c r="A279" s="21" t="str">
        <f aca="false">IF($D279="","",ROW()-1)</f>
        <v/>
      </c>
      <c r="B279" s="17"/>
      <c r="C279" s="22"/>
      <c r="D279" s="23"/>
      <c r="E279" s="24" t="n">
        <v>1</v>
      </c>
      <c r="F279" s="23"/>
      <c r="G279" s="23"/>
      <c r="H279" s="23"/>
      <c r="I279" s="23"/>
      <c r="J279" s="25" t="n">
        <f aca="false">IFERROR(INDEX(Precios!$C$2:$D$25,MATCH($D279,Precios!$A$2:$A$25,0),IF($F279="Transferencia",2,1)),0)</f>
        <v>0</v>
      </c>
      <c r="K279" s="25" t="n">
        <f aca="false">E279*J279</f>
        <v>0</v>
      </c>
    </row>
    <row r="280" customFormat="false" ht="15" hidden="false" customHeight="true" outlineLevel="0" collapsed="false">
      <c r="A280" s="21" t="str">
        <f aca="false">IF($D280="","",ROW()-1)</f>
        <v/>
      </c>
      <c r="B280" s="17"/>
      <c r="C280" s="22"/>
      <c r="D280" s="23"/>
      <c r="E280" s="24" t="n">
        <v>1</v>
      </c>
      <c r="F280" s="23"/>
      <c r="G280" s="23"/>
      <c r="H280" s="23"/>
      <c r="I280" s="23"/>
      <c r="J280" s="25" t="n">
        <f aca="false">IFERROR(INDEX(Precios!$C$2:$D$25,MATCH($D280,Precios!$A$2:$A$25,0),IF($F280="Transferencia",2,1)),0)</f>
        <v>0</v>
      </c>
      <c r="K280" s="25" t="n">
        <f aca="false">E280*J280</f>
        <v>0</v>
      </c>
    </row>
    <row r="281" customFormat="false" ht="15" hidden="false" customHeight="true" outlineLevel="0" collapsed="false">
      <c r="A281" s="21" t="str">
        <f aca="false">IF($D281="","",ROW()-1)</f>
        <v/>
      </c>
      <c r="B281" s="17"/>
      <c r="C281" s="22"/>
      <c r="D281" s="23"/>
      <c r="E281" s="24" t="n">
        <v>1</v>
      </c>
      <c r="F281" s="23"/>
      <c r="G281" s="23"/>
      <c r="H281" s="23"/>
      <c r="I281" s="23"/>
      <c r="J281" s="25" t="n">
        <f aca="false">IFERROR(INDEX(Precios!$C$2:$D$25,MATCH($D281,Precios!$A$2:$A$25,0),IF($F281="Transferencia",2,1)),0)</f>
        <v>0</v>
      </c>
      <c r="K281" s="25" t="n">
        <f aca="false">E281*J281</f>
        <v>0</v>
      </c>
    </row>
    <row r="282" customFormat="false" ht="15" hidden="false" customHeight="true" outlineLevel="0" collapsed="false">
      <c r="A282" s="21" t="str">
        <f aca="false">IF($D282="","",ROW()-1)</f>
        <v/>
      </c>
      <c r="B282" s="17"/>
      <c r="C282" s="22"/>
      <c r="D282" s="23"/>
      <c r="E282" s="24" t="n">
        <v>1</v>
      </c>
      <c r="F282" s="23"/>
      <c r="G282" s="23"/>
      <c r="H282" s="23"/>
      <c r="I282" s="23"/>
      <c r="J282" s="25" t="n">
        <f aca="false">IFERROR(INDEX(Precios!$C$2:$D$25,MATCH($D282,Precios!$A$2:$A$25,0),IF($F282="Transferencia",2,1)),0)</f>
        <v>0</v>
      </c>
      <c r="K282" s="25" t="n">
        <f aca="false">E282*J282</f>
        <v>0</v>
      </c>
    </row>
    <row r="283" customFormat="false" ht="15" hidden="false" customHeight="true" outlineLevel="0" collapsed="false">
      <c r="A283" s="21" t="str">
        <f aca="false">IF($D283="","",ROW()-1)</f>
        <v/>
      </c>
      <c r="B283" s="17"/>
      <c r="C283" s="22"/>
      <c r="D283" s="23"/>
      <c r="E283" s="24" t="n">
        <v>1</v>
      </c>
      <c r="F283" s="23"/>
      <c r="G283" s="23"/>
      <c r="H283" s="23"/>
      <c r="I283" s="23"/>
      <c r="J283" s="25" t="n">
        <f aca="false">IFERROR(INDEX(Precios!$C$2:$D$25,MATCH($D283,Precios!$A$2:$A$25,0),IF($F283="Transferencia",2,1)),0)</f>
        <v>0</v>
      </c>
      <c r="K283" s="25" t="n">
        <f aca="false">E283*J283</f>
        <v>0</v>
      </c>
    </row>
    <row r="284" customFormat="false" ht="15" hidden="false" customHeight="true" outlineLevel="0" collapsed="false">
      <c r="A284" s="21" t="str">
        <f aca="false">IF($D284="","",ROW()-1)</f>
        <v/>
      </c>
      <c r="B284" s="17"/>
      <c r="C284" s="22"/>
      <c r="D284" s="23"/>
      <c r="E284" s="24" t="n">
        <v>1</v>
      </c>
      <c r="F284" s="23"/>
      <c r="G284" s="23"/>
      <c r="H284" s="23"/>
      <c r="I284" s="23"/>
      <c r="J284" s="25" t="n">
        <f aca="false">IFERROR(INDEX(Precios!$C$2:$D$25,MATCH($D284,Precios!$A$2:$A$25,0),IF($F284="Transferencia",2,1)),0)</f>
        <v>0</v>
      </c>
      <c r="K284" s="25" t="n">
        <f aca="false">E284*J284</f>
        <v>0</v>
      </c>
    </row>
    <row r="285" customFormat="false" ht="15" hidden="false" customHeight="true" outlineLevel="0" collapsed="false">
      <c r="A285" s="21" t="str">
        <f aca="false">IF($D285="","",ROW()-1)</f>
        <v/>
      </c>
      <c r="B285" s="17"/>
      <c r="C285" s="22"/>
      <c r="D285" s="23"/>
      <c r="E285" s="24" t="n">
        <v>1</v>
      </c>
      <c r="F285" s="23"/>
      <c r="G285" s="23"/>
      <c r="H285" s="23"/>
      <c r="I285" s="23"/>
      <c r="J285" s="25" t="n">
        <f aca="false">IFERROR(INDEX(Precios!$C$2:$D$25,MATCH($D285,Precios!$A$2:$A$25,0),IF($F285="Transferencia",2,1)),0)</f>
        <v>0</v>
      </c>
      <c r="K285" s="25" t="n">
        <f aca="false">E285*J285</f>
        <v>0</v>
      </c>
    </row>
    <row r="286" customFormat="false" ht="15" hidden="false" customHeight="true" outlineLevel="0" collapsed="false">
      <c r="A286" s="21" t="str">
        <f aca="false">IF($D286="","",ROW()-1)</f>
        <v/>
      </c>
      <c r="B286" s="17"/>
      <c r="C286" s="22"/>
      <c r="D286" s="23"/>
      <c r="E286" s="24" t="n">
        <v>1</v>
      </c>
      <c r="F286" s="23"/>
      <c r="G286" s="23"/>
      <c r="H286" s="23"/>
      <c r="I286" s="23"/>
      <c r="J286" s="25" t="n">
        <f aca="false">IFERROR(INDEX(Precios!$C$2:$D$25,MATCH($D286,Precios!$A$2:$A$25,0),IF($F286="Transferencia",2,1)),0)</f>
        <v>0</v>
      </c>
      <c r="K286" s="25" t="n">
        <f aca="false">E286*J286</f>
        <v>0</v>
      </c>
    </row>
    <row r="287" customFormat="false" ht="15" hidden="false" customHeight="true" outlineLevel="0" collapsed="false">
      <c r="A287" s="21" t="str">
        <f aca="false">IF($D287="","",ROW()-1)</f>
        <v/>
      </c>
      <c r="B287" s="17"/>
      <c r="C287" s="22"/>
      <c r="D287" s="23"/>
      <c r="E287" s="24" t="n">
        <v>1</v>
      </c>
      <c r="F287" s="23"/>
      <c r="G287" s="23"/>
      <c r="H287" s="23"/>
      <c r="I287" s="23"/>
      <c r="J287" s="25" t="n">
        <f aca="false">IFERROR(INDEX(Precios!$C$2:$D$25,MATCH($D287,Precios!$A$2:$A$25,0),IF($F287="Transferencia",2,1)),0)</f>
        <v>0</v>
      </c>
      <c r="K287" s="25" t="n">
        <f aca="false">E287*J287</f>
        <v>0</v>
      </c>
    </row>
    <row r="288" customFormat="false" ht="15" hidden="false" customHeight="true" outlineLevel="0" collapsed="false">
      <c r="A288" s="21" t="str">
        <f aca="false">IF($D288="","",ROW()-1)</f>
        <v/>
      </c>
      <c r="B288" s="17"/>
      <c r="C288" s="22"/>
      <c r="D288" s="23"/>
      <c r="E288" s="24" t="n">
        <v>1</v>
      </c>
      <c r="F288" s="23"/>
      <c r="G288" s="23"/>
      <c r="H288" s="23"/>
      <c r="I288" s="23"/>
      <c r="J288" s="25" t="n">
        <f aca="false">IFERROR(INDEX(Precios!$C$2:$D$25,MATCH($D288,Precios!$A$2:$A$25,0),IF($F288="Transferencia",2,1)),0)</f>
        <v>0</v>
      </c>
      <c r="K288" s="25" t="n">
        <f aca="false">E288*J288</f>
        <v>0</v>
      </c>
    </row>
    <row r="289" customFormat="false" ht="15" hidden="false" customHeight="true" outlineLevel="0" collapsed="false">
      <c r="A289" s="21" t="str">
        <f aca="false">IF($D289="","",ROW()-1)</f>
        <v/>
      </c>
      <c r="B289" s="17"/>
      <c r="C289" s="22"/>
      <c r="D289" s="23"/>
      <c r="E289" s="24" t="n">
        <v>1</v>
      </c>
      <c r="F289" s="23"/>
      <c r="G289" s="23"/>
      <c r="H289" s="23"/>
      <c r="I289" s="23"/>
      <c r="J289" s="25" t="n">
        <f aca="false">IFERROR(INDEX(Precios!$C$2:$D$25,MATCH($D289,Precios!$A$2:$A$25,0),IF($F289="Transferencia",2,1)),0)</f>
        <v>0</v>
      </c>
      <c r="K289" s="25" t="n">
        <f aca="false">E289*J289</f>
        <v>0</v>
      </c>
    </row>
    <row r="290" customFormat="false" ht="15" hidden="false" customHeight="true" outlineLevel="0" collapsed="false">
      <c r="A290" s="21" t="str">
        <f aca="false">IF($D290="","",ROW()-1)</f>
        <v/>
      </c>
      <c r="B290" s="17"/>
      <c r="C290" s="22"/>
      <c r="D290" s="23"/>
      <c r="E290" s="24" t="n">
        <v>1</v>
      </c>
      <c r="F290" s="23"/>
      <c r="G290" s="23"/>
      <c r="H290" s="23"/>
      <c r="I290" s="23"/>
      <c r="J290" s="25" t="n">
        <f aca="false">IFERROR(INDEX(Precios!$C$2:$D$25,MATCH($D290,Precios!$A$2:$A$25,0),IF($F290="Transferencia",2,1)),0)</f>
        <v>0</v>
      </c>
      <c r="K290" s="25" t="n">
        <f aca="false">E290*J290</f>
        <v>0</v>
      </c>
    </row>
    <row r="291" customFormat="false" ht="15" hidden="false" customHeight="true" outlineLevel="0" collapsed="false">
      <c r="A291" s="21" t="str">
        <f aca="false">IF($D291="","",ROW()-1)</f>
        <v/>
      </c>
      <c r="B291" s="17"/>
      <c r="C291" s="22"/>
      <c r="D291" s="23"/>
      <c r="E291" s="24" t="n">
        <v>1</v>
      </c>
      <c r="F291" s="23"/>
      <c r="G291" s="23"/>
      <c r="H291" s="23"/>
      <c r="I291" s="23"/>
      <c r="J291" s="25" t="n">
        <f aca="false">IFERROR(INDEX(Precios!$C$2:$D$25,MATCH($D291,Precios!$A$2:$A$25,0),IF($F291="Transferencia",2,1)),0)</f>
        <v>0</v>
      </c>
      <c r="K291" s="25" t="n">
        <f aca="false">E291*J291</f>
        <v>0</v>
      </c>
    </row>
    <row r="292" customFormat="false" ht="15" hidden="false" customHeight="true" outlineLevel="0" collapsed="false">
      <c r="A292" s="21" t="str">
        <f aca="false">IF($D292="","",ROW()-1)</f>
        <v/>
      </c>
      <c r="B292" s="17"/>
      <c r="C292" s="22"/>
      <c r="D292" s="23"/>
      <c r="E292" s="24" t="n">
        <v>1</v>
      </c>
      <c r="F292" s="23"/>
      <c r="G292" s="23"/>
      <c r="H292" s="23"/>
      <c r="I292" s="23"/>
      <c r="J292" s="25" t="n">
        <f aca="false">IFERROR(INDEX(Precios!$C$2:$D$25,MATCH($D292,Precios!$A$2:$A$25,0),IF($F292="Transferencia",2,1)),0)</f>
        <v>0</v>
      </c>
      <c r="K292" s="25" t="n">
        <f aca="false">E292*J292</f>
        <v>0</v>
      </c>
    </row>
    <row r="293" customFormat="false" ht="15" hidden="false" customHeight="true" outlineLevel="0" collapsed="false">
      <c r="A293" s="21" t="str">
        <f aca="false">IF($D293="","",ROW()-1)</f>
        <v/>
      </c>
      <c r="B293" s="17"/>
      <c r="C293" s="22"/>
      <c r="D293" s="23"/>
      <c r="E293" s="24" t="n">
        <v>1</v>
      </c>
      <c r="F293" s="23"/>
      <c r="G293" s="23"/>
      <c r="H293" s="23"/>
      <c r="I293" s="23"/>
      <c r="J293" s="25" t="n">
        <f aca="false">IFERROR(INDEX(Precios!$C$2:$D$25,MATCH($D293,Precios!$A$2:$A$25,0),IF($F293="Transferencia",2,1)),0)</f>
        <v>0</v>
      </c>
      <c r="K293" s="25" t="n">
        <f aca="false">E293*J293</f>
        <v>0</v>
      </c>
    </row>
    <row r="294" customFormat="false" ht="15" hidden="false" customHeight="true" outlineLevel="0" collapsed="false">
      <c r="A294" s="21" t="str">
        <f aca="false">IF($D294="","",ROW()-1)</f>
        <v/>
      </c>
      <c r="B294" s="17"/>
      <c r="C294" s="22"/>
      <c r="D294" s="23"/>
      <c r="E294" s="24" t="n">
        <v>1</v>
      </c>
      <c r="F294" s="23"/>
      <c r="G294" s="23"/>
      <c r="H294" s="23"/>
      <c r="I294" s="23"/>
      <c r="J294" s="25" t="n">
        <f aca="false">IFERROR(INDEX(Precios!$C$2:$D$25,MATCH($D294,Precios!$A$2:$A$25,0),IF($F294="Transferencia",2,1)),0)</f>
        <v>0</v>
      </c>
      <c r="K294" s="25" t="n">
        <f aca="false">E294*J294</f>
        <v>0</v>
      </c>
    </row>
    <row r="295" customFormat="false" ht="15" hidden="false" customHeight="true" outlineLevel="0" collapsed="false">
      <c r="A295" s="21" t="str">
        <f aca="false">IF($D295="","",ROW()-1)</f>
        <v/>
      </c>
      <c r="B295" s="17"/>
      <c r="C295" s="22"/>
      <c r="D295" s="23"/>
      <c r="E295" s="24" t="n">
        <v>1</v>
      </c>
      <c r="F295" s="23"/>
      <c r="G295" s="23"/>
      <c r="H295" s="23"/>
      <c r="I295" s="23"/>
      <c r="J295" s="25" t="n">
        <f aca="false">IFERROR(INDEX(Precios!$C$2:$D$25,MATCH($D295,Precios!$A$2:$A$25,0),IF($F295="Transferencia",2,1)),0)</f>
        <v>0</v>
      </c>
      <c r="K295" s="25" t="n">
        <f aca="false">E295*J295</f>
        <v>0</v>
      </c>
    </row>
    <row r="296" customFormat="false" ht="15" hidden="false" customHeight="true" outlineLevel="0" collapsed="false">
      <c r="A296" s="21" t="str">
        <f aca="false">IF($D296="","",ROW()-1)</f>
        <v/>
      </c>
      <c r="B296" s="17"/>
      <c r="C296" s="22"/>
      <c r="D296" s="23"/>
      <c r="E296" s="24" t="n">
        <v>1</v>
      </c>
      <c r="F296" s="23"/>
      <c r="G296" s="23"/>
      <c r="H296" s="23"/>
      <c r="I296" s="23"/>
      <c r="J296" s="25" t="n">
        <f aca="false">IFERROR(INDEX(Precios!$C$2:$D$25,MATCH($D296,Precios!$A$2:$A$25,0),IF($F296="Transferencia",2,1)),0)</f>
        <v>0</v>
      </c>
      <c r="K296" s="25" t="n">
        <f aca="false">E296*J296</f>
        <v>0</v>
      </c>
    </row>
    <row r="297" customFormat="false" ht="15" hidden="false" customHeight="true" outlineLevel="0" collapsed="false">
      <c r="A297" s="21" t="str">
        <f aca="false">IF($D297="","",ROW()-1)</f>
        <v/>
      </c>
      <c r="B297" s="17"/>
      <c r="C297" s="22"/>
      <c r="D297" s="23"/>
      <c r="E297" s="24" t="n">
        <v>1</v>
      </c>
      <c r="F297" s="23"/>
      <c r="G297" s="23"/>
      <c r="H297" s="23"/>
      <c r="I297" s="23"/>
      <c r="J297" s="25" t="n">
        <f aca="false">IFERROR(INDEX(Precios!$C$2:$D$25,MATCH($D297,Precios!$A$2:$A$25,0),IF($F297="Transferencia",2,1)),0)</f>
        <v>0</v>
      </c>
      <c r="K297" s="25" t="n">
        <f aca="false">E297*J297</f>
        <v>0</v>
      </c>
    </row>
    <row r="298" customFormat="false" ht="15" hidden="false" customHeight="true" outlineLevel="0" collapsed="false">
      <c r="A298" s="21" t="str">
        <f aca="false">IF($D298="","",ROW()-1)</f>
        <v/>
      </c>
      <c r="B298" s="17"/>
      <c r="C298" s="22"/>
      <c r="D298" s="23"/>
      <c r="E298" s="24" t="n">
        <v>1</v>
      </c>
      <c r="F298" s="23"/>
      <c r="G298" s="23"/>
      <c r="H298" s="23"/>
      <c r="I298" s="23"/>
      <c r="J298" s="25" t="n">
        <f aca="false">IFERROR(INDEX(Precios!$C$2:$D$25,MATCH($D298,Precios!$A$2:$A$25,0),IF($F298="Transferencia",2,1)),0)</f>
        <v>0</v>
      </c>
      <c r="K298" s="25" t="n">
        <f aca="false">E298*J298</f>
        <v>0</v>
      </c>
    </row>
    <row r="299" customFormat="false" ht="15" hidden="false" customHeight="true" outlineLevel="0" collapsed="false">
      <c r="A299" s="21" t="str">
        <f aca="false">IF($D299="","",ROW()-1)</f>
        <v/>
      </c>
      <c r="B299" s="17"/>
      <c r="C299" s="22"/>
      <c r="D299" s="23"/>
      <c r="E299" s="24" t="n">
        <v>1</v>
      </c>
      <c r="F299" s="23"/>
      <c r="G299" s="23"/>
      <c r="H299" s="23"/>
      <c r="I299" s="23"/>
      <c r="J299" s="25" t="n">
        <f aca="false">IFERROR(INDEX(Precios!$C$2:$D$25,MATCH($D299,Precios!$A$2:$A$25,0),IF($F299="Transferencia",2,1)),0)</f>
        <v>0</v>
      </c>
      <c r="K299" s="25" t="n">
        <f aca="false">E299*J299</f>
        <v>0</v>
      </c>
    </row>
    <row r="300" customFormat="false" ht="15" hidden="false" customHeight="true" outlineLevel="0" collapsed="false">
      <c r="A300" s="21" t="str">
        <f aca="false">IF($D300="","",ROW()-1)</f>
        <v/>
      </c>
      <c r="B300" s="17"/>
      <c r="C300" s="22"/>
      <c r="D300" s="23"/>
      <c r="E300" s="24" t="n">
        <v>1</v>
      </c>
      <c r="F300" s="23"/>
      <c r="G300" s="23"/>
      <c r="H300" s="23"/>
      <c r="I300" s="23"/>
      <c r="J300" s="25" t="n">
        <f aca="false">IFERROR(INDEX(Precios!$C$2:$D$25,MATCH($D300,Precios!$A$2:$A$25,0),IF($F300="Transferencia",2,1)),0)</f>
        <v>0</v>
      </c>
      <c r="K300" s="25" t="n">
        <f aca="false">E300*J300</f>
        <v>0</v>
      </c>
    </row>
    <row r="301" customFormat="false" ht="15" hidden="false" customHeight="true" outlineLevel="0" collapsed="false">
      <c r="A301" s="21" t="str">
        <f aca="false">IF($D301="","",ROW()-1)</f>
        <v/>
      </c>
      <c r="B301" s="17"/>
      <c r="C301" s="22"/>
      <c r="D301" s="23"/>
      <c r="E301" s="24" t="n">
        <v>1</v>
      </c>
      <c r="F301" s="23"/>
      <c r="G301" s="23"/>
      <c r="H301" s="23"/>
      <c r="I301" s="23"/>
      <c r="J301" s="25" t="n">
        <f aca="false">IFERROR(INDEX(Precios!$C$2:$D$25,MATCH($D301,Precios!$A$2:$A$25,0),IF($F301="Transferencia",2,1)),0)</f>
        <v>0</v>
      </c>
      <c r="K301" s="25" t="n">
        <f aca="false">E301*J301</f>
        <v>0</v>
      </c>
    </row>
  </sheetData>
  <conditionalFormatting sqref="A2:K301">
    <cfRule type="expression" priority="2" aboveAverage="0" equalAverage="0" bottom="0" percent="0" rank="0" text="" dxfId="2">
      <formula>OR($D2="Promo cookies 3x",$D2="Combo picnic")</formula>
    </cfRule>
  </conditionalFormatting>
  <dataValidations count="3">
    <dataValidation allowBlank="true" errorStyle="stop" operator="between" showDropDown="false" showErrorMessage="false" showInputMessage="false" sqref="D2:D301" type="list">
      <formula1>Precios!$A$2:$A$25</formula1>
      <formula2>0</formula2>
    </dataValidation>
    <dataValidation allowBlank="true" errorStyle="stop" operator="between" showDropDown="false" showErrorMessage="false" showInputMessage="false" sqref="F2:F301" type="list">
      <formula1>"Efectivo,Transferencia"</formula1>
      <formula2>0</formula2>
    </dataValidation>
    <dataValidation allowBlank="true" errorStyle="stop" operator="between" showDropDown="false" showErrorMessage="false" showInputMessage="false" sqref="G2:I301" type="list">
      <formula1>"Cookie red velvet,Cookie choco y sal,Cookie oreo y nutella,Cookie choco y nuez,Cookie almendras y caramelo,Cookie pistacho,Cookie frambuesa,Cookie marroc,Bolsita de sconcitos,Shortbread,Pepas de membrillo"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2"/>
  </cols>
  <sheetData>
    <row r="1" customFormat="false" ht="33.75" hidden="false" customHeight="true" outlineLevel="0" collapsed="false">
      <c r="A1" s="20" t="s">
        <v>64</v>
      </c>
      <c r="B1" s="20" t="s">
        <v>74</v>
      </c>
      <c r="C1" s="20" t="s">
        <v>75</v>
      </c>
      <c r="D1" s="20" t="s">
        <v>76</v>
      </c>
      <c r="E1" s="20" t="s">
        <v>77</v>
      </c>
      <c r="F1" s="20" t="s">
        <v>78</v>
      </c>
      <c r="G1" s="20" t="s">
        <v>79</v>
      </c>
    </row>
    <row r="2" customFormat="false" ht="15" hidden="false" customHeight="true" outlineLevel="0" collapsed="false">
      <c r="A2" s="17" t="s">
        <v>72</v>
      </c>
      <c r="B2" s="26" t="n">
        <v>0</v>
      </c>
      <c r="C2" s="18" t="n">
        <f aca="false">SUMIFS(Ventas!$E$2:$E$301,Ventas!$D$2:$D$301,$A2)+SUMPRODUCT((Ventas!$G$2:$G$301=$A2)*Ventas!$E$2:$E$301)+SUMPRODUCT((Ventas!$H$2:$H$301=$A2)*Ventas!$E$2:$E$301)+SUMPRODUCT((Ventas!$I$2:$I$301=$A2)*Ventas!$E$2:$E$301)</f>
        <v>1</v>
      </c>
      <c r="D2" s="18" t="n">
        <f aca="false">SUMIFS(Mermas!$D$2:$D$101,Mermas!$C$2:$C$101,$A2)</f>
        <v>0</v>
      </c>
      <c r="E2" s="18" t="n">
        <f aca="false">B2-C2-D2</f>
        <v>-1</v>
      </c>
      <c r="F2" s="26"/>
      <c r="G2" s="18" t="str">
        <f aca="false">IF(F2="","",F2-E2)</f>
        <v/>
      </c>
    </row>
    <row r="3" customFormat="false" ht="15" hidden="false" customHeight="true" outlineLevel="0" collapsed="false">
      <c r="A3" s="17" t="s">
        <v>80</v>
      </c>
      <c r="B3" s="26" t="n">
        <v>0</v>
      </c>
      <c r="C3" s="18" t="n">
        <f aca="false">SUMIFS(Ventas!$E$2:$E$301,Ventas!$D$2:$D$301,$A3)+SUMPRODUCT((Ventas!$G$2:$G$301=$A3)*Ventas!$E$2:$E$301)+SUMPRODUCT((Ventas!$H$2:$H$301=$A3)*Ventas!$E$2:$E$301)+SUMPRODUCT((Ventas!$I$2:$I$301=$A3)*Ventas!$E$2:$E$301)</f>
        <v>0</v>
      </c>
      <c r="D3" s="18" t="n">
        <f aca="false">SUMIFS(Mermas!$D$2:$D$101,Mermas!$C$2:$C$101,$A3)</f>
        <v>0</v>
      </c>
      <c r="E3" s="18" t="n">
        <f aca="false">B3-C3-D3</f>
        <v>0</v>
      </c>
      <c r="F3" s="26"/>
      <c r="G3" s="18" t="str">
        <f aca="false">IF(F3="","",F3-E3)</f>
        <v/>
      </c>
    </row>
    <row r="4" customFormat="false" ht="15" hidden="false" customHeight="true" outlineLevel="0" collapsed="false">
      <c r="A4" s="17" t="s">
        <v>81</v>
      </c>
      <c r="B4" s="26" t="n">
        <v>0</v>
      </c>
      <c r="C4" s="18" t="n">
        <f aca="false">SUMIFS(Ventas!$E$2:$E$301,Ventas!$D$2:$D$301,$A4)+SUMPRODUCT((Ventas!$G$2:$G$301=$A4)*Ventas!$E$2:$E$301)+SUMPRODUCT((Ventas!$H$2:$H$301=$A4)*Ventas!$E$2:$E$301)+SUMPRODUCT((Ventas!$I$2:$I$301=$A4)*Ventas!$E$2:$E$301)</f>
        <v>0</v>
      </c>
      <c r="D4" s="18" t="n">
        <f aca="false">SUMIFS(Mermas!$D$2:$D$101,Mermas!$C$2:$C$101,$A4)</f>
        <v>0</v>
      </c>
      <c r="E4" s="18" t="n">
        <f aca="false">B4-C4-D4</f>
        <v>0</v>
      </c>
      <c r="F4" s="26"/>
      <c r="G4" s="18" t="str">
        <f aca="false">IF(F4="","",F4-E4)</f>
        <v/>
      </c>
    </row>
    <row r="5" customFormat="false" ht="15" hidden="false" customHeight="true" outlineLevel="0" collapsed="false">
      <c r="A5" s="17" t="s">
        <v>82</v>
      </c>
      <c r="B5" s="26" t="n">
        <v>0</v>
      </c>
      <c r="C5" s="18" t="n">
        <f aca="false">SUMIFS(Ventas!$E$2:$E$301,Ventas!$D$2:$D$301,$A5)+SUMPRODUCT((Ventas!$G$2:$G$301=$A5)*Ventas!$E$2:$E$301)+SUMPRODUCT((Ventas!$H$2:$H$301=$A5)*Ventas!$E$2:$E$301)+SUMPRODUCT((Ventas!$I$2:$I$301=$A5)*Ventas!$E$2:$E$301)</f>
        <v>0</v>
      </c>
      <c r="D5" s="18" t="n">
        <f aca="false">SUMIFS(Mermas!$D$2:$D$101,Mermas!$C$2:$C$101,$A5)</f>
        <v>0</v>
      </c>
      <c r="E5" s="18" t="n">
        <f aca="false">B5-C5-D5</f>
        <v>0</v>
      </c>
      <c r="F5" s="26"/>
      <c r="G5" s="18" t="str">
        <f aca="false">IF(F5="","",F5-E5)</f>
        <v/>
      </c>
    </row>
    <row r="6" customFormat="false" ht="15" hidden="false" customHeight="true" outlineLevel="0" collapsed="false">
      <c r="A6" s="17" t="s">
        <v>83</v>
      </c>
      <c r="B6" s="26" t="n">
        <v>0</v>
      </c>
      <c r="C6" s="18" t="n">
        <f aca="false">SUMIFS(Ventas!$E$2:$E$301,Ventas!$D$2:$D$301,$A6)+SUMPRODUCT((Ventas!$G$2:$G$301=$A6)*Ventas!$E$2:$E$301)+SUMPRODUCT((Ventas!$H$2:$H$301=$A6)*Ventas!$E$2:$E$301)+SUMPRODUCT((Ventas!$I$2:$I$301=$A6)*Ventas!$E$2:$E$301)</f>
        <v>0</v>
      </c>
      <c r="D6" s="18" t="n">
        <f aca="false">SUMIFS(Mermas!$D$2:$D$101,Mermas!$C$2:$C$101,$A6)</f>
        <v>0</v>
      </c>
      <c r="E6" s="18" t="n">
        <f aca="false">B6-C6-D6</f>
        <v>0</v>
      </c>
      <c r="F6" s="26"/>
      <c r="G6" s="18" t="str">
        <f aca="false">IF(F6="","",F6-E6)</f>
        <v/>
      </c>
    </row>
    <row r="7" customFormat="false" ht="15" hidden="false" customHeight="true" outlineLevel="0" collapsed="false">
      <c r="A7" s="17" t="s">
        <v>84</v>
      </c>
      <c r="B7" s="26" t="n">
        <v>0</v>
      </c>
      <c r="C7" s="18" t="n">
        <f aca="false">SUMIFS(Ventas!$E$2:$E$301,Ventas!$D$2:$D$301,$A7)+SUMPRODUCT((Ventas!$G$2:$G$301=$A7)*Ventas!$E$2:$E$301)+SUMPRODUCT((Ventas!$H$2:$H$301=$A7)*Ventas!$E$2:$E$301)+SUMPRODUCT((Ventas!$I$2:$I$301=$A7)*Ventas!$E$2:$E$301)</f>
        <v>0</v>
      </c>
      <c r="D7" s="18" t="n">
        <f aca="false">SUMIFS(Mermas!$D$2:$D$101,Mermas!$C$2:$C$101,$A7)</f>
        <v>0</v>
      </c>
      <c r="E7" s="18" t="n">
        <f aca="false">B7-C7-D7</f>
        <v>0</v>
      </c>
      <c r="F7" s="26"/>
      <c r="G7" s="18" t="str">
        <f aca="false">IF(F7="","",F7-E7)</f>
        <v/>
      </c>
    </row>
    <row r="8" customFormat="false" ht="15" hidden="false" customHeight="true" outlineLevel="0" collapsed="false">
      <c r="A8" s="17" t="s">
        <v>85</v>
      </c>
      <c r="B8" s="26" t="n">
        <v>0</v>
      </c>
      <c r="C8" s="18" t="n">
        <f aca="false">SUMIFS(Ventas!$E$2:$E$301,Ventas!$D$2:$D$301,$A8)+SUMPRODUCT((Ventas!$G$2:$G$301=$A8)*Ventas!$E$2:$E$301)+SUMPRODUCT((Ventas!$H$2:$H$301=$A8)*Ventas!$E$2:$E$301)+SUMPRODUCT((Ventas!$I$2:$I$301=$A8)*Ventas!$E$2:$E$301)</f>
        <v>0</v>
      </c>
      <c r="D8" s="18" t="n">
        <f aca="false">SUMIFS(Mermas!$D$2:$D$101,Mermas!$C$2:$C$101,$A8)</f>
        <v>0</v>
      </c>
      <c r="E8" s="18" t="n">
        <f aca="false">B8-C8-D8</f>
        <v>0</v>
      </c>
      <c r="F8" s="26"/>
      <c r="G8" s="18" t="str">
        <f aca="false">IF(F8="","",F8-E8)</f>
        <v/>
      </c>
    </row>
    <row r="9" customFormat="false" ht="15" hidden="false" customHeight="true" outlineLevel="0" collapsed="false">
      <c r="A9" s="17" t="s">
        <v>86</v>
      </c>
      <c r="B9" s="26" t="n">
        <v>0</v>
      </c>
      <c r="C9" s="18" t="n">
        <f aca="false">SUMIFS(Ventas!$E$2:$E$301,Ventas!$D$2:$D$301,$A9)+SUMPRODUCT((Ventas!$G$2:$G$301=$A9)*Ventas!$E$2:$E$301)+SUMPRODUCT((Ventas!$H$2:$H$301=$A9)*Ventas!$E$2:$E$301)+SUMPRODUCT((Ventas!$I$2:$I$301=$A9)*Ventas!$E$2:$E$301)</f>
        <v>0</v>
      </c>
      <c r="D9" s="18" t="n">
        <f aca="false">SUMIFS(Mermas!$D$2:$D$101,Mermas!$C$2:$C$101,$A9)</f>
        <v>0</v>
      </c>
      <c r="E9" s="18" t="n">
        <f aca="false">B9-C9-D9</f>
        <v>0</v>
      </c>
      <c r="F9" s="26"/>
      <c r="G9" s="18" t="str">
        <f aca="false">IF(F9="","",F9-E9)</f>
        <v/>
      </c>
    </row>
    <row r="10" customFormat="false" ht="15" hidden="false" customHeight="true" outlineLevel="0" collapsed="false">
      <c r="A10" s="17" t="s">
        <v>87</v>
      </c>
      <c r="B10" s="26" t="n">
        <v>0</v>
      </c>
      <c r="C10" s="18" t="n">
        <f aca="false">SUMIFS(Ventas!$E$2:$E$301,Ventas!$D$2:$D$301,$A10)+SUMPRODUCT((Ventas!$G$2:$G$301=$A10)*Ventas!$E$2:$E$301)+SUMPRODUCT((Ventas!$H$2:$H$301=$A10)*Ventas!$E$2:$E$301)+SUMPRODUCT((Ventas!$I$2:$I$301=$A10)*Ventas!$E$2:$E$301)</f>
        <v>0</v>
      </c>
      <c r="D10" s="18" t="n">
        <f aca="false">SUMIFS(Mermas!$D$2:$D$101,Mermas!$C$2:$C$101,$A10)</f>
        <v>0</v>
      </c>
      <c r="E10" s="18" t="n">
        <f aca="false">B10-C10-D10</f>
        <v>0</v>
      </c>
      <c r="F10" s="26"/>
      <c r="G10" s="18" t="str">
        <f aca="false">IF(F10="","",F10-E10)</f>
        <v/>
      </c>
    </row>
    <row r="11" customFormat="false" ht="15" hidden="false" customHeight="true" outlineLevel="0" collapsed="false">
      <c r="A11" s="17" t="s">
        <v>88</v>
      </c>
      <c r="B11" s="26" t="n">
        <v>0</v>
      </c>
      <c r="C11" s="18" t="n">
        <f aca="false">SUMIFS(Ventas!$E$2:$E$301,Ventas!$D$2:$D$301,$A11)+SUMPRODUCT((Ventas!$G$2:$G$301=$A11)*Ventas!$E$2:$E$301)+SUMPRODUCT((Ventas!$H$2:$H$301=$A11)*Ventas!$E$2:$E$301)+SUMPRODUCT((Ventas!$I$2:$I$301=$A11)*Ventas!$E$2:$E$301)</f>
        <v>0</v>
      </c>
      <c r="D11" s="18" t="n">
        <f aca="false">SUMIFS(Mermas!$D$2:$D$101,Mermas!$C$2:$C$101,$A11)</f>
        <v>0</v>
      </c>
      <c r="E11" s="18" t="n">
        <f aca="false">B11-C11-D11</f>
        <v>0</v>
      </c>
      <c r="F11" s="26"/>
      <c r="G11" s="18" t="str">
        <f aca="false">IF(F11="","",F11-E11)</f>
        <v/>
      </c>
    </row>
    <row r="12" customFormat="false" ht="15" hidden="false" customHeight="true" outlineLevel="0" collapsed="false">
      <c r="A12" s="17" t="s">
        <v>89</v>
      </c>
      <c r="B12" s="26" t="n">
        <v>0</v>
      </c>
      <c r="C12" s="18" t="n">
        <f aca="false">SUMIFS(Ventas!$E$2:$E$301,Ventas!$D$2:$D$301,$A12)+SUMPRODUCT((Ventas!$G$2:$G$301=$A12)*Ventas!$E$2:$E$301)+SUMPRODUCT((Ventas!$H$2:$H$301=$A12)*Ventas!$E$2:$E$301)+SUMPRODUCT((Ventas!$I$2:$I$301=$A12)*Ventas!$E$2:$E$301)</f>
        <v>0</v>
      </c>
      <c r="D12" s="18" t="n">
        <f aca="false">SUMIFS(Mermas!$D$2:$D$101,Mermas!$C$2:$C$101,$A12)</f>
        <v>0</v>
      </c>
      <c r="E12" s="18" t="n">
        <f aca="false">B12-C12-D12</f>
        <v>0</v>
      </c>
      <c r="F12" s="26"/>
      <c r="G12" s="18" t="str">
        <f aca="false">IF(F12="","",F12-E12)</f>
        <v/>
      </c>
    </row>
    <row r="13" customFormat="false" ht="15" hidden="false" customHeight="true" outlineLevel="0" collapsed="false">
      <c r="A13" s="17" t="s">
        <v>90</v>
      </c>
      <c r="B13" s="26" t="n">
        <v>0</v>
      </c>
      <c r="C13" s="18" t="n">
        <f aca="false">SUMIFS(Ventas!$E$2:$E$301,Ventas!$D$2:$D$301,$A13)+SUMPRODUCT((Ventas!$G$2:$G$301=$A13)*Ventas!$E$2:$E$301)+SUMPRODUCT((Ventas!$H$2:$H$301=$A13)*Ventas!$E$2:$E$301)+SUMPRODUCT((Ventas!$I$2:$I$301=$A13)*Ventas!$E$2:$E$301)</f>
        <v>0</v>
      </c>
      <c r="D13" s="18" t="n">
        <f aca="false">SUMIFS(Mermas!$D$2:$D$101,Mermas!$C$2:$C$101,$A13)</f>
        <v>0</v>
      </c>
      <c r="E13" s="18" t="n">
        <f aca="false">B13-C13-D13</f>
        <v>0</v>
      </c>
      <c r="F13" s="26"/>
      <c r="G13" s="18" t="str">
        <f aca="false">IF(F13="","",F13-E13)</f>
        <v/>
      </c>
    </row>
    <row r="14" customFormat="false" ht="15" hidden="false" customHeight="true" outlineLevel="0" collapsed="false">
      <c r="A14" s="17" t="s">
        <v>91</v>
      </c>
      <c r="B14" s="26" t="n">
        <v>0</v>
      </c>
      <c r="C14" s="18" t="n">
        <f aca="false">SUMIFS(Ventas!$E$2:$E$301,Ventas!$D$2:$D$301,$A14)+SUMPRODUCT((Ventas!$G$2:$G$301=$A14)*Ventas!$E$2:$E$301)+SUMPRODUCT((Ventas!$H$2:$H$301=$A14)*Ventas!$E$2:$E$301)+SUMPRODUCT((Ventas!$I$2:$I$301=$A14)*Ventas!$E$2:$E$301)</f>
        <v>0</v>
      </c>
      <c r="D14" s="18" t="n">
        <f aca="false">SUMIFS(Mermas!$D$2:$D$101,Mermas!$C$2:$C$101,$A14)</f>
        <v>0</v>
      </c>
      <c r="E14" s="18" t="n">
        <f aca="false">B14-C14-D14</f>
        <v>0</v>
      </c>
      <c r="F14" s="26"/>
      <c r="G14" s="18" t="str">
        <f aca="false">IF(F14="","",F14-E14)</f>
        <v/>
      </c>
    </row>
    <row r="15" customFormat="false" ht="15" hidden="false" customHeight="true" outlineLevel="0" collapsed="false">
      <c r="A15" s="17" t="s">
        <v>92</v>
      </c>
      <c r="B15" s="26" t="n">
        <v>0</v>
      </c>
      <c r="C15" s="18" t="n">
        <f aca="false">SUMIFS(Ventas!$E$2:$E$301,Ventas!$D$2:$D$301,$A15)+SUMPRODUCT((Ventas!$G$2:$G$301=$A15)*Ventas!$E$2:$E$301)+SUMPRODUCT((Ventas!$H$2:$H$301=$A15)*Ventas!$E$2:$E$301)+SUMPRODUCT((Ventas!$I$2:$I$301=$A15)*Ventas!$E$2:$E$301)</f>
        <v>0</v>
      </c>
      <c r="D15" s="18" t="n">
        <f aca="false">SUMIFS(Mermas!$D$2:$D$101,Mermas!$C$2:$C$101,$A15)</f>
        <v>0</v>
      </c>
      <c r="E15" s="18" t="n">
        <f aca="false">B15-C15-D15</f>
        <v>0</v>
      </c>
      <c r="F15" s="26"/>
      <c r="G15" s="18" t="str">
        <f aca="false">IF(F15="","",F15-E15)</f>
        <v/>
      </c>
    </row>
    <row r="16" customFormat="false" ht="15" hidden="false" customHeight="true" outlineLevel="0" collapsed="false">
      <c r="A16" s="17" t="s">
        <v>93</v>
      </c>
      <c r="B16" s="26" t="n">
        <v>0</v>
      </c>
      <c r="C16" s="18" t="n">
        <f aca="false">SUMIFS(Ventas!$E$2:$E$301,Ventas!$D$2:$D$301,$A16)+SUMPRODUCT((Ventas!$G$2:$G$301=$A16)*Ventas!$E$2:$E$301)+SUMPRODUCT((Ventas!$H$2:$H$301=$A16)*Ventas!$E$2:$E$301)+SUMPRODUCT((Ventas!$I$2:$I$301=$A16)*Ventas!$E$2:$E$301)</f>
        <v>0</v>
      </c>
      <c r="D16" s="18" t="n">
        <f aca="false">SUMIFS(Mermas!$D$2:$D$101,Mermas!$C$2:$C$101,$A16)</f>
        <v>0</v>
      </c>
      <c r="E16" s="18" t="n">
        <f aca="false">B16-C16-D16</f>
        <v>0</v>
      </c>
      <c r="F16" s="26"/>
      <c r="G16" s="18" t="str">
        <f aca="false">IF(F16="","",F16-E16)</f>
        <v/>
      </c>
    </row>
    <row r="17" customFormat="false" ht="15" hidden="false" customHeight="true" outlineLevel="0" collapsed="false">
      <c r="A17" s="17" t="s">
        <v>94</v>
      </c>
      <c r="B17" s="26" t="n">
        <v>0</v>
      </c>
      <c r="C17" s="18" t="n">
        <f aca="false">SUMIFS(Ventas!$E$2:$E$301,Ventas!$D$2:$D$301,$A17)+SUMPRODUCT((Ventas!$G$2:$G$301=$A17)*Ventas!$E$2:$E$301)+SUMPRODUCT((Ventas!$H$2:$H$301=$A17)*Ventas!$E$2:$E$301)+SUMPRODUCT((Ventas!$I$2:$I$301=$A17)*Ventas!$E$2:$E$301)</f>
        <v>0</v>
      </c>
      <c r="D17" s="18" t="n">
        <f aca="false">SUMIFS(Mermas!$D$2:$D$101,Mermas!$C$2:$C$101,$A17)</f>
        <v>1</v>
      </c>
      <c r="E17" s="18" t="n">
        <f aca="false">B17-C17-D17</f>
        <v>-1</v>
      </c>
      <c r="F17" s="26"/>
      <c r="G17" s="18" t="str">
        <f aca="false">IF(F17="","",F17-E17)</f>
        <v/>
      </c>
    </row>
    <row r="18" customFormat="false" ht="15" hidden="false" customHeight="true" outlineLevel="0" collapsed="false">
      <c r="A18" s="17" t="s">
        <v>95</v>
      </c>
      <c r="B18" s="26" t="n">
        <v>0</v>
      </c>
      <c r="C18" s="18" t="n">
        <f aca="false">SUMIFS(Ventas!$E$2:$E$301,Ventas!$D$2:$D$301,$A18)+SUMPRODUCT((Ventas!$G$2:$G$301=$A18)*Ventas!$E$2:$E$301)+SUMPRODUCT((Ventas!$H$2:$H$301=$A18)*Ventas!$E$2:$E$301)+SUMPRODUCT((Ventas!$I$2:$I$301=$A18)*Ventas!$E$2:$E$301)</f>
        <v>0</v>
      </c>
      <c r="D18" s="18" t="n">
        <f aca="false">SUMIFS(Mermas!$D$2:$D$101,Mermas!$C$2:$C$101,$A18)</f>
        <v>0</v>
      </c>
      <c r="E18" s="18" t="n">
        <f aca="false">B18-C18-D18</f>
        <v>0</v>
      </c>
      <c r="F18" s="26"/>
      <c r="G18" s="18" t="str">
        <f aca="false">IF(F18="","",F18-E18)</f>
        <v/>
      </c>
    </row>
    <row r="19" customFormat="false" ht="15" hidden="false" customHeight="true" outlineLevel="0" collapsed="false">
      <c r="A19" s="17" t="s">
        <v>96</v>
      </c>
      <c r="B19" s="26" t="n">
        <v>0</v>
      </c>
      <c r="C19" s="18" t="n">
        <f aca="false">SUMIFS(Ventas!$E$2:$E$301,Ventas!$D$2:$D$301,$A19)+SUMPRODUCT((Ventas!$G$2:$G$301=$A19)*Ventas!$E$2:$E$301)+SUMPRODUCT((Ventas!$H$2:$H$301=$A19)*Ventas!$E$2:$E$301)+SUMPRODUCT((Ventas!$I$2:$I$301=$A19)*Ventas!$E$2:$E$301)</f>
        <v>0</v>
      </c>
      <c r="D19" s="18" t="n">
        <f aca="false">SUMIFS(Mermas!$D$2:$D$101,Mermas!$C$2:$C$101,$A19)</f>
        <v>0</v>
      </c>
      <c r="E19" s="18" t="n">
        <f aca="false">B19-C19-D19</f>
        <v>0</v>
      </c>
      <c r="F19" s="26"/>
      <c r="G19" s="18" t="str">
        <f aca="false">IF(F19="","",F19-E19)</f>
        <v/>
      </c>
    </row>
    <row r="20" customFormat="false" ht="15" hidden="false" customHeight="true" outlineLevel="0" collapsed="false">
      <c r="A20" s="17" t="s">
        <v>97</v>
      </c>
      <c r="B20" s="26" t="n">
        <v>0</v>
      </c>
      <c r="C20" s="18" t="n">
        <f aca="false">SUMIFS(Ventas!$E$2:$E$301,Ventas!$D$2:$D$301,$A20)+SUMPRODUCT((Ventas!$G$2:$G$301=$A20)*Ventas!$E$2:$E$301)+SUMPRODUCT((Ventas!$H$2:$H$301=$A20)*Ventas!$E$2:$E$301)+SUMPRODUCT((Ventas!$I$2:$I$301=$A20)*Ventas!$E$2:$E$301)+2*SUMIFS(Ventas!$E$2:$E$301,Ventas!$D$2:$D$301,"Chipa x2")</f>
        <v>0</v>
      </c>
      <c r="D20" s="18" t="n">
        <f aca="false">SUMIFS(Mermas!$D$2:$D$101,Mermas!$C$2:$C$101,$A20)</f>
        <v>0</v>
      </c>
      <c r="E20" s="18" t="n">
        <f aca="false">B20-C20-D20</f>
        <v>0</v>
      </c>
      <c r="F20" s="26"/>
      <c r="G20" s="18" t="str">
        <f aca="false">IF(F20="","",F20-E20)</f>
        <v/>
      </c>
    </row>
    <row r="21" customFormat="false" ht="15" hidden="false" customHeight="true" outlineLevel="0" collapsed="false">
      <c r="A21" s="17" t="s">
        <v>98</v>
      </c>
      <c r="B21" s="26" t="n">
        <v>0</v>
      </c>
      <c r="C21" s="18" t="n">
        <f aca="false">SUMIFS(Ventas!$E$2:$E$301,Ventas!$D$2:$D$301,$A21)+SUMPRODUCT((Ventas!$G$2:$G$301=$A21)*Ventas!$E$2:$E$301)+SUMPRODUCT((Ventas!$H$2:$H$301=$A21)*Ventas!$E$2:$E$301)+SUMPRODUCT((Ventas!$I$2:$I$301=$A21)*Ventas!$E$2:$E$301)+2*SUMIFS(Ventas!$E$2:$E$301,Ventas!$D$2:$D$301,"Merengada x2")+2*SUMIFS(Ventas!$E$2:$E$301,Ventas!$D$2:$D$301,"Combo picnic")</f>
        <v>0</v>
      </c>
      <c r="D21" s="18" t="n">
        <f aca="false">SUMIFS(Mermas!$D$2:$D$101,Mermas!$C$2:$C$101,$A21)</f>
        <v>0</v>
      </c>
      <c r="E21" s="18" t="n">
        <f aca="false">B21-C21-D21</f>
        <v>0</v>
      </c>
      <c r="F21" s="26"/>
      <c r="G21" s="18" t="str">
        <f aca="false">IF(F21="","",F21-E21)</f>
        <v/>
      </c>
    </row>
    <row r="22" customFormat="false" ht="15" hidden="false" customHeight="true" outlineLevel="0" collapsed="false">
      <c r="A22" s="27" t="s">
        <v>99</v>
      </c>
      <c r="B22" s="28" t="n">
        <f aca="false">SUM(B2:B21)</f>
        <v>0</v>
      </c>
      <c r="C22" s="28" t="n">
        <f aca="false">SUM(C2:C21)</f>
        <v>1</v>
      </c>
      <c r="D22" s="28" t="n">
        <f aca="false">SUM(D2:D21)</f>
        <v>1</v>
      </c>
      <c r="E22" s="28" t="n">
        <f aca="false">SUM(E2:E21)</f>
        <v>-2</v>
      </c>
      <c r="F22" s="28" t="str">
        <f aca="false">IF(COUNTBLANK(F2:F21)&gt;0,"",SUM(F2:F21))</f>
        <v/>
      </c>
      <c r="G22" s="28" t="str">
        <f aca="false">IF(F22="","",F22-E22)</f>
        <v/>
      </c>
    </row>
    <row r="23" customFormat="false" ht="1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15" hidden="false" customHeight="true" outlineLevel="0" collapsed="false">
      <c r="A24" s="19" t="s">
        <v>100</v>
      </c>
      <c r="B24" s="19"/>
      <c r="C24" s="19"/>
      <c r="D24" s="19"/>
      <c r="E24" s="19"/>
      <c r="F24" s="19"/>
      <c r="G24" s="19"/>
    </row>
    <row r="25" customFormat="false" ht="1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1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1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1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1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1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1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5"/>
    </row>
    <row r="39" customFormat="false" ht="15" hidden="false" customHeight="true" outlineLevel="0" collapsed="false">
      <c r="A39" s="15"/>
      <c r="B39" s="15"/>
      <c r="C39" s="15"/>
      <c r="D39" s="15"/>
      <c r="E39" s="15"/>
      <c r="F39" s="15"/>
      <c r="G39" s="15"/>
    </row>
  </sheetData>
  <mergeCells count="1">
    <mergeCell ref="A24:G24"/>
  </mergeCells>
  <conditionalFormatting sqref="G2:G21">
    <cfRule type="cellIs" priority="2" operator="notEqual" aboveAverage="0" equalAverage="0" bottom="0" percent="0" rank="0" text="" dxfId="3">
      <formula>0</formula>
    </cfRule>
    <cfRule type="cellIs" priority="3" operator="equal" aboveAverage="0" equalAverage="0" bottom="0" percent="0" rank="0" text="" dxfId="4">
      <formula>0</formula>
    </cfRule>
  </conditionalFormatting>
  <conditionalFormatting sqref="G22">
    <cfRule type="cellIs" priority="4" operator="notEqual" aboveAverage="0" equalAverage="0" bottom="0" percent="0" rank="0" text="" dxfId="3">
      <formula>0</formula>
    </cfRule>
    <cfRule type="cellIs" priority="5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34"/>
  </cols>
  <sheetData>
    <row r="1" customFormat="false" ht="25.5" hidden="false" customHeight="true" outlineLevel="0" collapsed="false">
      <c r="A1" s="29" t="s">
        <v>61</v>
      </c>
      <c r="B1" s="29" t="s">
        <v>62</v>
      </c>
      <c r="C1" s="29" t="s">
        <v>64</v>
      </c>
      <c r="D1" s="29" t="s">
        <v>65</v>
      </c>
      <c r="E1" s="29" t="s">
        <v>101</v>
      </c>
      <c r="F1" s="29" t="s">
        <v>102</v>
      </c>
    </row>
    <row r="2" customFormat="false" ht="15" hidden="false" customHeight="true" outlineLevel="0" collapsed="false">
      <c r="A2" s="21" t="n">
        <f aca="false">IF($C2="","",ROW()-1)</f>
        <v>1</v>
      </c>
      <c r="B2" s="17"/>
      <c r="C2" s="23" t="s">
        <v>94</v>
      </c>
      <c r="D2" s="24" t="n">
        <v>1</v>
      </c>
      <c r="E2" s="23" t="s">
        <v>103</v>
      </c>
      <c r="F2" s="17"/>
    </row>
    <row r="3" customFormat="false" ht="15" hidden="false" customHeight="true" outlineLevel="0" collapsed="false">
      <c r="A3" s="21" t="str">
        <f aca="false">IF($C3="","",ROW()-1)</f>
        <v/>
      </c>
      <c r="B3" s="17"/>
      <c r="C3" s="23"/>
      <c r="D3" s="24" t="n">
        <v>1</v>
      </c>
      <c r="E3" s="23"/>
      <c r="F3" s="17"/>
    </row>
    <row r="4" customFormat="false" ht="15" hidden="false" customHeight="true" outlineLevel="0" collapsed="false">
      <c r="A4" s="21" t="str">
        <f aca="false">IF($C4="","",ROW()-1)</f>
        <v/>
      </c>
      <c r="B4" s="17"/>
      <c r="C4" s="23"/>
      <c r="D4" s="24" t="n">
        <v>1</v>
      </c>
      <c r="E4" s="23"/>
      <c r="F4" s="17"/>
    </row>
    <row r="5" customFormat="false" ht="15" hidden="false" customHeight="true" outlineLevel="0" collapsed="false">
      <c r="A5" s="21" t="str">
        <f aca="false">IF($C5="","",ROW()-1)</f>
        <v/>
      </c>
      <c r="B5" s="17"/>
      <c r="C5" s="23"/>
      <c r="D5" s="24" t="n">
        <v>1</v>
      </c>
      <c r="E5" s="23"/>
      <c r="F5" s="17"/>
    </row>
    <row r="6" customFormat="false" ht="15" hidden="false" customHeight="true" outlineLevel="0" collapsed="false">
      <c r="A6" s="21" t="str">
        <f aca="false">IF($C6="","",ROW()-1)</f>
        <v/>
      </c>
      <c r="B6" s="17"/>
      <c r="C6" s="23"/>
      <c r="D6" s="24" t="n">
        <v>1</v>
      </c>
      <c r="E6" s="23"/>
      <c r="F6" s="17"/>
    </row>
    <row r="7" customFormat="false" ht="15" hidden="false" customHeight="true" outlineLevel="0" collapsed="false">
      <c r="A7" s="21" t="str">
        <f aca="false">IF($C7="","",ROW()-1)</f>
        <v/>
      </c>
      <c r="B7" s="17"/>
      <c r="C7" s="23"/>
      <c r="D7" s="24" t="n">
        <v>1</v>
      </c>
      <c r="E7" s="23"/>
      <c r="F7" s="17"/>
    </row>
    <row r="8" customFormat="false" ht="15" hidden="false" customHeight="true" outlineLevel="0" collapsed="false">
      <c r="A8" s="21" t="str">
        <f aca="false">IF($C8="","",ROW()-1)</f>
        <v/>
      </c>
      <c r="B8" s="17"/>
      <c r="C8" s="23"/>
      <c r="D8" s="24" t="n">
        <v>1</v>
      </c>
      <c r="E8" s="23"/>
      <c r="F8" s="17"/>
    </row>
    <row r="9" customFormat="false" ht="15" hidden="false" customHeight="true" outlineLevel="0" collapsed="false">
      <c r="A9" s="21" t="str">
        <f aca="false">IF($C9="","",ROW()-1)</f>
        <v/>
      </c>
      <c r="B9" s="17"/>
      <c r="C9" s="23"/>
      <c r="D9" s="24" t="n">
        <v>1</v>
      </c>
      <c r="E9" s="23"/>
      <c r="F9" s="17"/>
    </row>
    <row r="10" customFormat="false" ht="15" hidden="false" customHeight="true" outlineLevel="0" collapsed="false">
      <c r="A10" s="21" t="str">
        <f aca="false">IF($C10="","",ROW()-1)</f>
        <v/>
      </c>
      <c r="B10" s="17"/>
      <c r="C10" s="23"/>
      <c r="D10" s="24" t="n">
        <v>1</v>
      </c>
      <c r="E10" s="23"/>
      <c r="F10" s="17"/>
    </row>
    <row r="11" customFormat="false" ht="15" hidden="false" customHeight="true" outlineLevel="0" collapsed="false">
      <c r="A11" s="21" t="str">
        <f aca="false">IF($C11="","",ROW()-1)</f>
        <v/>
      </c>
      <c r="B11" s="17"/>
      <c r="C11" s="23"/>
      <c r="D11" s="24" t="n">
        <v>1</v>
      </c>
      <c r="E11" s="23"/>
      <c r="F11" s="17"/>
    </row>
    <row r="12" customFormat="false" ht="15" hidden="false" customHeight="true" outlineLevel="0" collapsed="false">
      <c r="A12" s="21" t="str">
        <f aca="false">IF($C12="","",ROW()-1)</f>
        <v/>
      </c>
      <c r="B12" s="17"/>
      <c r="C12" s="23"/>
      <c r="D12" s="24" t="n">
        <v>1</v>
      </c>
      <c r="E12" s="23"/>
      <c r="F12" s="17"/>
    </row>
    <row r="13" customFormat="false" ht="15" hidden="false" customHeight="true" outlineLevel="0" collapsed="false">
      <c r="A13" s="21" t="str">
        <f aca="false">IF($C13="","",ROW()-1)</f>
        <v/>
      </c>
      <c r="B13" s="17"/>
      <c r="C13" s="23"/>
      <c r="D13" s="24" t="n">
        <v>1</v>
      </c>
      <c r="E13" s="23"/>
      <c r="F13" s="17"/>
    </row>
    <row r="14" customFormat="false" ht="15" hidden="false" customHeight="true" outlineLevel="0" collapsed="false">
      <c r="A14" s="21" t="str">
        <f aca="false">IF($C14="","",ROW()-1)</f>
        <v/>
      </c>
      <c r="B14" s="17"/>
      <c r="C14" s="23"/>
      <c r="D14" s="24" t="n">
        <v>1</v>
      </c>
      <c r="E14" s="23"/>
      <c r="F14" s="17"/>
    </row>
    <row r="15" customFormat="false" ht="15" hidden="false" customHeight="true" outlineLevel="0" collapsed="false">
      <c r="A15" s="21" t="str">
        <f aca="false">IF($C15="","",ROW()-1)</f>
        <v/>
      </c>
      <c r="B15" s="17"/>
      <c r="C15" s="23"/>
      <c r="D15" s="24" t="n">
        <v>1</v>
      </c>
      <c r="E15" s="23"/>
      <c r="F15" s="17"/>
    </row>
    <row r="16" customFormat="false" ht="15" hidden="false" customHeight="true" outlineLevel="0" collapsed="false">
      <c r="A16" s="21" t="str">
        <f aca="false">IF($C16="","",ROW()-1)</f>
        <v/>
      </c>
      <c r="B16" s="17"/>
      <c r="C16" s="23"/>
      <c r="D16" s="24" t="n">
        <v>1</v>
      </c>
      <c r="E16" s="23"/>
      <c r="F16" s="17"/>
    </row>
    <row r="17" customFormat="false" ht="15" hidden="false" customHeight="true" outlineLevel="0" collapsed="false">
      <c r="A17" s="21" t="str">
        <f aca="false">IF($C17="","",ROW()-1)</f>
        <v/>
      </c>
      <c r="B17" s="17"/>
      <c r="C17" s="23"/>
      <c r="D17" s="24" t="n">
        <v>1</v>
      </c>
      <c r="E17" s="23"/>
      <c r="F17" s="17"/>
    </row>
    <row r="18" customFormat="false" ht="15" hidden="false" customHeight="true" outlineLevel="0" collapsed="false">
      <c r="A18" s="21" t="str">
        <f aca="false">IF($C18="","",ROW()-1)</f>
        <v/>
      </c>
      <c r="B18" s="17"/>
      <c r="C18" s="23"/>
      <c r="D18" s="24" t="n">
        <v>1</v>
      </c>
      <c r="E18" s="23"/>
      <c r="F18" s="17"/>
    </row>
    <row r="19" customFormat="false" ht="15" hidden="false" customHeight="true" outlineLevel="0" collapsed="false">
      <c r="A19" s="21" t="str">
        <f aca="false">IF($C19="","",ROW()-1)</f>
        <v/>
      </c>
      <c r="B19" s="17"/>
      <c r="C19" s="23"/>
      <c r="D19" s="24" t="n">
        <v>1</v>
      </c>
      <c r="E19" s="23"/>
      <c r="F19" s="17"/>
    </row>
    <row r="20" customFormat="false" ht="15" hidden="false" customHeight="true" outlineLevel="0" collapsed="false">
      <c r="A20" s="21" t="str">
        <f aca="false">IF($C20="","",ROW()-1)</f>
        <v/>
      </c>
      <c r="B20" s="17"/>
      <c r="C20" s="23"/>
      <c r="D20" s="24" t="n">
        <v>1</v>
      </c>
      <c r="E20" s="23"/>
      <c r="F20" s="17"/>
    </row>
    <row r="21" customFormat="false" ht="15" hidden="false" customHeight="true" outlineLevel="0" collapsed="false">
      <c r="A21" s="21" t="str">
        <f aca="false">IF($C21="","",ROW()-1)</f>
        <v/>
      </c>
      <c r="B21" s="17"/>
      <c r="C21" s="23"/>
      <c r="D21" s="24" t="n">
        <v>1</v>
      </c>
      <c r="E21" s="23"/>
      <c r="F21" s="17"/>
    </row>
    <row r="22" customFormat="false" ht="15" hidden="false" customHeight="true" outlineLevel="0" collapsed="false">
      <c r="A22" s="21" t="str">
        <f aca="false">IF($C22="","",ROW()-1)</f>
        <v/>
      </c>
      <c r="B22" s="17"/>
      <c r="C22" s="23"/>
      <c r="D22" s="24" t="n">
        <v>1</v>
      </c>
      <c r="E22" s="23"/>
      <c r="F22" s="17"/>
    </row>
    <row r="23" customFormat="false" ht="15" hidden="false" customHeight="true" outlineLevel="0" collapsed="false">
      <c r="A23" s="21" t="str">
        <f aca="false">IF($C23="","",ROW()-1)</f>
        <v/>
      </c>
      <c r="B23" s="17"/>
      <c r="C23" s="23"/>
      <c r="D23" s="24" t="n">
        <v>1</v>
      </c>
      <c r="E23" s="23"/>
      <c r="F23" s="17"/>
    </row>
    <row r="24" customFormat="false" ht="15" hidden="false" customHeight="true" outlineLevel="0" collapsed="false">
      <c r="A24" s="21" t="str">
        <f aca="false">IF($C24="","",ROW()-1)</f>
        <v/>
      </c>
      <c r="B24" s="17"/>
      <c r="C24" s="23"/>
      <c r="D24" s="24" t="n">
        <v>1</v>
      </c>
      <c r="E24" s="23"/>
      <c r="F24" s="17"/>
    </row>
    <row r="25" customFormat="false" ht="15" hidden="false" customHeight="true" outlineLevel="0" collapsed="false">
      <c r="A25" s="21" t="str">
        <f aca="false">IF($C25="","",ROW()-1)</f>
        <v/>
      </c>
      <c r="B25" s="17"/>
      <c r="C25" s="23"/>
      <c r="D25" s="24" t="n">
        <v>1</v>
      </c>
      <c r="E25" s="23"/>
      <c r="F25" s="17"/>
    </row>
    <row r="26" customFormat="false" ht="15" hidden="false" customHeight="true" outlineLevel="0" collapsed="false">
      <c r="A26" s="21" t="str">
        <f aca="false">IF($C26="","",ROW()-1)</f>
        <v/>
      </c>
      <c r="B26" s="17"/>
      <c r="C26" s="23"/>
      <c r="D26" s="24" t="n">
        <v>1</v>
      </c>
      <c r="E26" s="23"/>
      <c r="F26" s="17"/>
    </row>
    <row r="27" customFormat="false" ht="15" hidden="false" customHeight="true" outlineLevel="0" collapsed="false">
      <c r="A27" s="21" t="str">
        <f aca="false">IF($C27="","",ROW()-1)</f>
        <v/>
      </c>
      <c r="B27" s="17"/>
      <c r="C27" s="23"/>
      <c r="D27" s="24" t="n">
        <v>1</v>
      </c>
      <c r="E27" s="23"/>
      <c r="F27" s="17"/>
    </row>
    <row r="28" customFormat="false" ht="15" hidden="false" customHeight="true" outlineLevel="0" collapsed="false">
      <c r="A28" s="21" t="str">
        <f aca="false">IF($C28="","",ROW()-1)</f>
        <v/>
      </c>
      <c r="B28" s="17"/>
      <c r="C28" s="23"/>
      <c r="D28" s="24" t="n">
        <v>1</v>
      </c>
      <c r="E28" s="23"/>
      <c r="F28" s="17"/>
    </row>
    <row r="29" customFormat="false" ht="15" hidden="false" customHeight="true" outlineLevel="0" collapsed="false">
      <c r="A29" s="21" t="str">
        <f aca="false">IF($C29="","",ROW()-1)</f>
        <v/>
      </c>
      <c r="B29" s="17"/>
      <c r="C29" s="23"/>
      <c r="D29" s="24" t="n">
        <v>1</v>
      </c>
      <c r="E29" s="23"/>
      <c r="F29" s="17"/>
    </row>
    <row r="30" customFormat="false" ht="15" hidden="false" customHeight="true" outlineLevel="0" collapsed="false">
      <c r="A30" s="21" t="str">
        <f aca="false">IF($C30="","",ROW()-1)</f>
        <v/>
      </c>
      <c r="B30" s="17"/>
      <c r="C30" s="23"/>
      <c r="D30" s="24" t="n">
        <v>1</v>
      </c>
      <c r="E30" s="23"/>
      <c r="F30" s="17"/>
    </row>
    <row r="31" customFormat="false" ht="15" hidden="false" customHeight="true" outlineLevel="0" collapsed="false">
      <c r="A31" s="21" t="str">
        <f aca="false">IF($C31="","",ROW()-1)</f>
        <v/>
      </c>
      <c r="B31" s="17"/>
      <c r="C31" s="23"/>
      <c r="D31" s="24" t="n">
        <v>1</v>
      </c>
      <c r="E31" s="23"/>
      <c r="F31" s="17"/>
    </row>
    <row r="32" customFormat="false" ht="15" hidden="false" customHeight="true" outlineLevel="0" collapsed="false">
      <c r="A32" s="21" t="str">
        <f aca="false">IF($C32="","",ROW()-1)</f>
        <v/>
      </c>
      <c r="B32" s="17"/>
      <c r="C32" s="23"/>
      <c r="D32" s="24" t="n">
        <v>1</v>
      </c>
      <c r="E32" s="23"/>
      <c r="F32" s="17"/>
    </row>
    <row r="33" customFormat="false" ht="15" hidden="false" customHeight="true" outlineLevel="0" collapsed="false">
      <c r="A33" s="21" t="str">
        <f aca="false">IF($C33="","",ROW()-1)</f>
        <v/>
      </c>
      <c r="B33" s="17"/>
      <c r="C33" s="23"/>
      <c r="D33" s="24" t="n">
        <v>1</v>
      </c>
      <c r="E33" s="23"/>
      <c r="F33" s="17"/>
    </row>
    <row r="34" customFormat="false" ht="15" hidden="false" customHeight="true" outlineLevel="0" collapsed="false">
      <c r="A34" s="21" t="str">
        <f aca="false">IF($C34="","",ROW()-1)</f>
        <v/>
      </c>
      <c r="B34" s="17"/>
      <c r="C34" s="23"/>
      <c r="D34" s="24" t="n">
        <v>1</v>
      </c>
      <c r="E34" s="23"/>
      <c r="F34" s="17"/>
    </row>
    <row r="35" customFormat="false" ht="15" hidden="false" customHeight="true" outlineLevel="0" collapsed="false">
      <c r="A35" s="21" t="str">
        <f aca="false">IF($C35="","",ROW()-1)</f>
        <v/>
      </c>
      <c r="B35" s="17"/>
      <c r="C35" s="23"/>
      <c r="D35" s="24" t="n">
        <v>1</v>
      </c>
      <c r="E35" s="23"/>
      <c r="F35" s="17"/>
    </row>
    <row r="36" customFormat="false" ht="15" hidden="false" customHeight="true" outlineLevel="0" collapsed="false">
      <c r="A36" s="21" t="str">
        <f aca="false">IF($C36="","",ROW()-1)</f>
        <v/>
      </c>
      <c r="B36" s="17"/>
      <c r="C36" s="23"/>
      <c r="D36" s="24" t="n">
        <v>1</v>
      </c>
      <c r="E36" s="23"/>
      <c r="F36" s="17"/>
    </row>
    <row r="37" customFormat="false" ht="15" hidden="false" customHeight="true" outlineLevel="0" collapsed="false">
      <c r="A37" s="21" t="str">
        <f aca="false">IF($C37="","",ROW()-1)</f>
        <v/>
      </c>
      <c r="B37" s="17"/>
      <c r="C37" s="23"/>
      <c r="D37" s="24" t="n">
        <v>1</v>
      </c>
      <c r="E37" s="23"/>
      <c r="F37" s="17"/>
    </row>
    <row r="38" customFormat="false" ht="15" hidden="false" customHeight="true" outlineLevel="0" collapsed="false">
      <c r="A38" s="21" t="str">
        <f aca="false">IF($C38="","",ROW()-1)</f>
        <v/>
      </c>
      <c r="B38" s="17"/>
      <c r="C38" s="23"/>
      <c r="D38" s="24" t="n">
        <v>1</v>
      </c>
      <c r="E38" s="23"/>
      <c r="F38" s="17"/>
    </row>
    <row r="39" customFormat="false" ht="15" hidden="false" customHeight="true" outlineLevel="0" collapsed="false">
      <c r="A39" s="21" t="str">
        <f aca="false">IF($C39="","",ROW()-1)</f>
        <v/>
      </c>
      <c r="B39" s="17"/>
      <c r="C39" s="23"/>
      <c r="D39" s="24" t="n">
        <v>1</v>
      </c>
      <c r="E39" s="23"/>
      <c r="F39" s="17"/>
    </row>
    <row r="40" customFormat="false" ht="15" hidden="false" customHeight="true" outlineLevel="0" collapsed="false">
      <c r="A40" s="21" t="str">
        <f aca="false">IF($C40="","",ROW()-1)</f>
        <v/>
      </c>
      <c r="B40" s="17"/>
      <c r="C40" s="23"/>
      <c r="D40" s="24" t="n">
        <v>1</v>
      </c>
      <c r="E40" s="23"/>
      <c r="F40" s="17"/>
    </row>
    <row r="41" customFormat="false" ht="15" hidden="false" customHeight="true" outlineLevel="0" collapsed="false">
      <c r="A41" s="21" t="str">
        <f aca="false">IF($C41="","",ROW()-1)</f>
        <v/>
      </c>
      <c r="B41" s="17"/>
      <c r="C41" s="23"/>
      <c r="D41" s="24" t="n">
        <v>1</v>
      </c>
      <c r="E41" s="23"/>
      <c r="F41" s="17"/>
    </row>
    <row r="42" customFormat="false" ht="15" hidden="false" customHeight="true" outlineLevel="0" collapsed="false">
      <c r="A42" s="21" t="str">
        <f aca="false">IF($C42="","",ROW()-1)</f>
        <v/>
      </c>
      <c r="B42" s="17"/>
      <c r="C42" s="23"/>
      <c r="D42" s="24" t="n">
        <v>1</v>
      </c>
      <c r="E42" s="23"/>
      <c r="F42" s="17"/>
    </row>
    <row r="43" customFormat="false" ht="15" hidden="false" customHeight="true" outlineLevel="0" collapsed="false">
      <c r="A43" s="21" t="str">
        <f aca="false">IF($C43="","",ROW()-1)</f>
        <v/>
      </c>
      <c r="B43" s="17"/>
      <c r="C43" s="23"/>
      <c r="D43" s="24" t="n">
        <v>1</v>
      </c>
      <c r="E43" s="23"/>
      <c r="F43" s="17"/>
    </row>
    <row r="44" customFormat="false" ht="15" hidden="false" customHeight="true" outlineLevel="0" collapsed="false">
      <c r="A44" s="21" t="str">
        <f aca="false">IF($C44="","",ROW()-1)</f>
        <v/>
      </c>
      <c r="B44" s="17"/>
      <c r="C44" s="23"/>
      <c r="D44" s="24" t="n">
        <v>1</v>
      </c>
      <c r="E44" s="23"/>
      <c r="F44" s="17"/>
    </row>
    <row r="45" customFormat="false" ht="15" hidden="false" customHeight="true" outlineLevel="0" collapsed="false">
      <c r="A45" s="21" t="str">
        <f aca="false">IF($C45="","",ROW()-1)</f>
        <v/>
      </c>
      <c r="B45" s="17"/>
      <c r="C45" s="23"/>
      <c r="D45" s="24" t="n">
        <v>1</v>
      </c>
      <c r="E45" s="23"/>
      <c r="F45" s="17"/>
    </row>
    <row r="46" customFormat="false" ht="15" hidden="false" customHeight="true" outlineLevel="0" collapsed="false">
      <c r="A46" s="21" t="str">
        <f aca="false">IF($C46="","",ROW()-1)</f>
        <v/>
      </c>
      <c r="B46" s="17"/>
      <c r="C46" s="23"/>
      <c r="D46" s="24" t="n">
        <v>1</v>
      </c>
      <c r="E46" s="23"/>
      <c r="F46" s="17"/>
    </row>
    <row r="47" customFormat="false" ht="15" hidden="false" customHeight="true" outlineLevel="0" collapsed="false">
      <c r="A47" s="21" t="str">
        <f aca="false">IF($C47="","",ROW()-1)</f>
        <v/>
      </c>
      <c r="B47" s="17"/>
      <c r="C47" s="23"/>
      <c r="D47" s="24" t="n">
        <v>1</v>
      </c>
      <c r="E47" s="23"/>
      <c r="F47" s="17"/>
    </row>
    <row r="48" customFormat="false" ht="15" hidden="false" customHeight="true" outlineLevel="0" collapsed="false">
      <c r="A48" s="21" t="str">
        <f aca="false">IF($C48="","",ROW()-1)</f>
        <v/>
      </c>
      <c r="B48" s="17"/>
      <c r="C48" s="23"/>
      <c r="D48" s="24" t="n">
        <v>1</v>
      </c>
      <c r="E48" s="23"/>
      <c r="F48" s="17"/>
    </row>
    <row r="49" customFormat="false" ht="15" hidden="false" customHeight="true" outlineLevel="0" collapsed="false">
      <c r="A49" s="21" t="str">
        <f aca="false">IF($C49="","",ROW()-1)</f>
        <v/>
      </c>
      <c r="B49" s="17"/>
      <c r="C49" s="23"/>
      <c r="D49" s="24" t="n">
        <v>1</v>
      </c>
      <c r="E49" s="23"/>
      <c r="F49" s="17"/>
    </row>
    <row r="50" customFormat="false" ht="15" hidden="false" customHeight="true" outlineLevel="0" collapsed="false">
      <c r="A50" s="21" t="str">
        <f aca="false">IF($C50="","",ROW()-1)</f>
        <v/>
      </c>
      <c r="B50" s="17"/>
      <c r="C50" s="23"/>
      <c r="D50" s="24" t="n">
        <v>1</v>
      </c>
      <c r="E50" s="23"/>
      <c r="F50" s="17"/>
    </row>
    <row r="51" customFormat="false" ht="15" hidden="false" customHeight="true" outlineLevel="0" collapsed="false">
      <c r="A51" s="21" t="str">
        <f aca="false">IF($C51="","",ROW()-1)</f>
        <v/>
      </c>
      <c r="B51" s="17"/>
      <c r="C51" s="23"/>
      <c r="D51" s="24" t="n">
        <v>1</v>
      </c>
      <c r="E51" s="23"/>
      <c r="F51" s="17"/>
    </row>
    <row r="52" customFormat="false" ht="15" hidden="false" customHeight="true" outlineLevel="0" collapsed="false">
      <c r="A52" s="21" t="str">
        <f aca="false">IF($C52="","",ROW()-1)</f>
        <v/>
      </c>
      <c r="B52" s="17"/>
      <c r="C52" s="23"/>
      <c r="D52" s="24" t="n">
        <v>1</v>
      </c>
      <c r="E52" s="23"/>
      <c r="F52" s="17"/>
    </row>
    <row r="53" customFormat="false" ht="15" hidden="false" customHeight="true" outlineLevel="0" collapsed="false">
      <c r="A53" s="21" t="str">
        <f aca="false">IF($C53="","",ROW()-1)</f>
        <v/>
      </c>
      <c r="B53" s="17"/>
      <c r="C53" s="23"/>
      <c r="D53" s="24" t="n">
        <v>1</v>
      </c>
      <c r="E53" s="23"/>
      <c r="F53" s="17"/>
    </row>
    <row r="54" customFormat="false" ht="15" hidden="false" customHeight="true" outlineLevel="0" collapsed="false">
      <c r="A54" s="21" t="str">
        <f aca="false">IF($C54="","",ROW()-1)</f>
        <v/>
      </c>
      <c r="B54" s="17"/>
      <c r="C54" s="23"/>
      <c r="D54" s="24" t="n">
        <v>1</v>
      </c>
      <c r="E54" s="23"/>
      <c r="F54" s="17"/>
    </row>
    <row r="55" customFormat="false" ht="15" hidden="false" customHeight="true" outlineLevel="0" collapsed="false">
      <c r="A55" s="21" t="str">
        <f aca="false">IF($C55="","",ROW()-1)</f>
        <v/>
      </c>
      <c r="B55" s="17"/>
      <c r="C55" s="23"/>
      <c r="D55" s="24" t="n">
        <v>1</v>
      </c>
      <c r="E55" s="23"/>
      <c r="F55" s="17"/>
    </row>
    <row r="56" customFormat="false" ht="15" hidden="false" customHeight="true" outlineLevel="0" collapsed="false">
      <c r="A56" s="21" t="str">
        <f aca="false">IF($C56="","",ROW()-1)</f>
        <v/>
      </c>
      <c r="B56" s="17"/>
      <c r="C56" s="23"/>
      <c r="D56" s="24" t="n">
        <v>1</v>
      </c>
      <c r="E56" s="23"/>
      <c r="F56" s="17"/>
    </row>
    <row r="57" customFormat="false" ht="15" hidden="false" customHeight="true" outlineLevel="0" collapsed="false">
      <c r="A57" s="21" t="str">
        <f aca="false">IF($C57="","",ROW()-1)</f>
        <v/>
      </c>
      <c r="B57" s="17"/>
      <c r="C57" s="23"/>
      <c r="D57" s="24" t="n">
        <v>1</v>
      </c>
      <c r="E57" s="23"/>
      <c r="F57" s="17"/>
    </row>
    <row r="58" customFormat="false" ht="15" hidden="false" customHeight="true" outlineLevel="0" collapsed="false">
      <c r="A58" s="21" t="str">
        <f aca="false">IF($C58="","",ROW()-1)</f>
        <v/>
      </c>
      <c r="B58" s="17"/>
      <c r="C58" s="23"/>
      <c r="D58" s="24" t="n">
        <v>1</v>
      </c>
      <c r="E58" s="23"/>
      <c r="F58" s="17"/>
    </row>
    <row r="59" customFormat="false" ht="15" hidden="false" customHeight="true" outlineLevel="0" collapsed="false">
      <c r="A59" s="21" t="str">
        <f aca="false">IF($C59="","",ROW()-1)</f>
        <v/>
      </c>
      <c r="B59" s="17"/>
      <c r="C59" s="23"/>
      <c r="D59" s="24" t="n">
        <v>1</v>
      </c>
      <c r="E59" s="23"/>
      <c r="F59" s="17"/>
    </row>
    <row r="60" customFormat="false" ht="15" hidden="false" customHeight="true" outlineLevel="0" collapsed="false">
      <c r="A60" s="21" t="str">
        <f aca="false">IF($C60="","",ROW()-1)</f>
        <v/>
      </c>
      <c r="B60" s="17"/>
      <c r="C60" s="23"/>
      <c r="D60" s="24" t="n">
        <v>1</v>
      </c>
      <c r="E60" s="23"/>
      <c r="F60" s="17"/>
    </row>
    <row r="61" customFormat="false" ht="15" hidden="false" customHeight="true" outlineLevel="0" collapsed="false">
      <c r="A61" s="21" t="str">
        <f aca="false">IF($C61="","",ROW()-1)</f>
        <v/>
      </c>
      <c r="B61" s="17"/>
      <c r="C61" s="23"/>
      <c r="D61" s="24" t="n">
        <v>1</v>
      </c>
      <c r="E61" s="23"/>
      <c r="F61" s="17"/>
    </row>
    <row r="62" customFormat="false" ht="15" hidden="false" customHeight="true" outlineLevel="0" collapsed="false">
      <c r="A62" s="21" t="str">
        <f aca="false">IF($C62="","",ROW()-1)</f>
        <v/>
      </c>
      <c r="B62" s="17"/>
      <c r="C62" s="23"/>
      <c r="D62" s="24" t="n">
        <v>1</v>
      </c>
      <c r="E62" s="23"/>
      <c r="F62" s="17"/>
    </row>
    <row r="63" customFormat="false" ht="15" hidden="false" customHeight="true" outlineLevel="0" collapsed="false">
      <c r="A63" s="21" t="str">
        <f aca="false">IF($C63="","",ROW()-1)</f>
        <v/>
      </c>
      <c r="B63" s="17"/>
      <c r="C63" s="23"/>
      <c r="D63" s="24" t="n">
        <v>1</v>
      </c>
      <c r="E63" s="23"/>
      <c r="F63" s="17"/>
    </row>
    <row r="64" customFormat="false" ht="15" hidden="false" customHeight="true" outlineLevel="0" collapsed="false">
      <c r="A64" s="21" t="str">
        <f aca="false">IF($C64="","",ROW()-1)</f>
        <v/>
      </c>
      <c r="B64" s="17"/>
      <c r="C64" s="23"/>
      <c r="D64" s="24" t="n">
        <v>1</v>
      </c>
      <c r="E64" s="23"/>
      <c r="F64" s="17"/>
    </row>
    <row r="65" customFormat="false" ht="15" hidden="false" customHeight="true" outlineLevel="0" collapsed="false">
      <c r="A65" s="21" t="str">
        <f aca="false">IF($C65="","",ROW()-1)</f>
        <v/>
      </c>
      <c r="B65" s="17"/>
      <c r="C65" s="23"/>
      <c r="D65" s="24" t="n">
        <v>1</v>
      </c>
      <c r="E65" s="23"/>
      <c r="F65" s="17"/>
    </row>
    <row r="66" customFormat="false" ht="15" hidden="false" customHeight="true" outlineLevel="0" collapsed="false">
      <c r="A66" s="21" t="str">
        <f aca="false">IF($C66="","",ROW()-1)</f>
        <v/>
      </c>
      <c r="B66" s="17"/>
      <c r="C66" s="23"/>
      <c r="D66" s="24" t="n">
        <v>1</v>
      </c>
      <c r="E66" s="23"/>
      <c r="F66" s="17"/>
    </row>
    <row r="67" customFormat="false" ht="15" hidden="false" customHeight="true" outlineLevel="0" collapsed="false">
      <c r="A67" s="21" t="str">
        <f aca="false">IF($C67="","",ROW()-1)</f>
        <v/>
      </c>
      <c r="B67" s="17"/>
      <c r="C67" s="23"/>
      <c r="D67" s="24" t="n">
        <v>1</v>
      </c>
      <c r="E67" s="23"/>
      <c r="F67" s="17"/>
    </row>
    <row r="68" customFormat="false" ht="15" hidden="false" customHeight="true" outlineLevel="0" collapsed="false">
      <c r="A68" s="21" t="str">
        <f aca="false">IF($C68="","",ROW()-1)</f>
        <v/>
      </c>
      <c r="B68" s="17"/>
      <c r="C68" s="23"/>
      <c r="D68" s="24" t="n">
        <v>1</v>
      </c>
      <c r="E68" s="23"/>
      <c r="F68" s="17"/>
    </row>
    <row r="69" customFormat="false" ht="15" hidden="false" customHeight="true" outlineLevel="0" collapsed="false">
      <c r="A69" s="21" t="str">
        <f aca="false">IF($C69="","",ROW()-1)</f>
        <v/>
      </c>
      <c r="B69" s="17"/>
      <c r="C69" s="23"/>
      <c r="D69" s="24" t="n">
        <v>1</v>
      </c>
      <c r="E69" s="23"/>
      <c r="F69" s="17"/>
    </row>
    <row r="70" customFormat="false" ht="15" hidden="false" customHeight="true" outlineLevel="0" collapsed="false">
      <c r="A70" s="21" t="str">
        <f aca="false">IF($C70="","",ROW()-1)</f>
        <v/>
      </c>
      <c r="B70" s="17"/>
      <c r="C70" s="23"/>
      <c r="D70" s="24" t="n">
        <v>1</v>
      </c>
      <c r="E70" s="23"/>
      <c r="F70" s="17"/>
    </row>
    <row r="71" customFormat="false" ht="15" hidden="false" customHeight="true" outlineLevel="0" collapsed="false">
      <c r="A71" s="21" t="str">
        <f aca="false">IF($C71="","",ROW()-1)</f>
        <v/>
      </c>
      <c r="B71" s="17"/>
      <c r="C71" s="23"/>
      <c r="D71" s="24" t="n">
        <v>1</v>
      </c>
      <c r="E71" s="23"/>
      <c r="F71" s="17"/>
    </row>
    <row r="72" customFormat="false" ht="15" hidden="false" customHeight="true" outlineLevel="0" collapsed="false">
      <c r="A72" s="21" t="str">
        <f aca="false">IF($C72="","",ROW()-1)</f>
        <v/>
      </c>
      <c r="B72" s="17"/>
      <c r="C72" s="23"/>
      <c r="D72" s="24" t="n">
        <v>1</v>
      </c>
      <c r="E72" s="23"/>
      <c r="F72" s="17"/>
    </row>
    <row r="73" customFormat="false" ht="15" hidden="false" customHeight="true" outlineLevel="0" collapsed="false">
      <c r="A73" s="21" t="str">
        <f aca="false">IF($C73="","",ROW()-1)</f>
        <v/>
      </c>
      <c r="B73" s="17"/>
      <c r="C73" s="23"/>
      <c r="D73" s="24" t="n">
        <v>1</v>
      </c>
      <c r="E73" s="23"/>
      <c r="F73" s="17"/>
    </row>
    <row r="74" customFormat="false" ht="15" hidden="false" customHeight="true" outlineLevel="0" collapsed="false">
      <c r="A74" s="21" t="str">
        <f aca="false">IF($C74="","",ROW()-1)</f>
        <v/>
      </c>
      <c r="B74" s="17"/>
      <c r="C74" s="23"/>
      <c r="D74" s="24" t="n">
        <v>1</v>
      </c>
      <c r="E74" s="23"/>
      <c r="F74" s="17"/>
    </row>
    <row r="75" customFormat="false" ht="15" hidden="false" customHeight="true" outlineLevel="0" collapsed="false">
      <c r="A75" s="21" t="str">
        <f aca="false">IF($C75="","",ROW()-1)</f>
        <v/>
      </c>
      <c r="B75" s="17"/>
      <c r="C75" s="23"/>
      <c r="D75" s="24" t="n">
        <v>1</v>
      </c>
      <c r="E75" s="23"/>
      <c r="F75" s="17"/>
    </row>
    <row r="76" customFormat="false" ht="15" hidden="false" customHeight="true" outlineLevel="0" collapsed="false">
      <c r="A76" s="21" t="str">
        <f aca="false">IF($C76="","",ROW()-1)</f>
        <v/>
      </c>
      <c r="B76" s="17"/>
      <c r="C76" s="23"/>
      <c r="D76" s="24" t="n">
        <v>1</v>
      </c>
      <c r="E76" s="23"/>
      <c r="F76" s="17"/>
    </row>
    <row r="77" customFormat="false" ht="15" hidden="false" customHeight="true" outlineLevel="0" collapsed="false">
      <c r="A77" s="21" t="str">
        <f aca="false">IF($C77="","",ROW()-1)</f>
        <v/>
      </c>
      <c r="B77" s="17"/>
      <c r="C77" s="23"/>
      <c r="D77" s="24" t="n">
        <v>1</v>
      </c>
      <c r="E77" s="23"/>
      <c r="F77" s="17"/>
    </row>
    <row r="78" customFormat="false" ht="15" hidden="false" customHeight="true" outlineLevel="0" collapsed="false">
      <c r="A78" s="21" t="str">
        <f aca="false">IF($C78="","",ROW()-1)</f>
        <v/>
      </c>
      <c r="B78" s="17"/>
      <c r="C78" s="23"/>
      <c r="D78" s="24" t="n">
        <v>1</v>
      </c>
      <c r="E78" s="23"/>
      <c r="F78" s="17"/>
    </row>
    <row r="79" customFormat="false" ht="15" hidden="false" customHeight="true" outlineLevel="0" collapsed="false">
      <c r="A79" s="21" t="str">
        <f aca="false">IF($C79="","",ROW()-1)</f>
        <v/>
      </c>
      <c r="B79" s="17"/>
      <c r="C79" s="23"/>
      <c r="D79" s="24" t="n">
        <v>1</v>
      </c>
      <c r="E79" s="23"/>
      <c r="F79" s="17"/>
    </row>
    <row r="80" customFormat="false" ht="15" hidden="false" customHeight="true" outlineLevel="0" collapsed="false">
      <c r="A80" s="21" t="str">
        <f aca="false">IF($C80="","",ROW()-1)</f>
        <v/>
      </c>
      <c r="B80" s="17"/>
      <c r="C80" s="23"/>
      <c r="D80" s="24" t="n">
        <v>1</v>
      </c>
      <c r="E80" s="23"/>
      <c r="F80" s="17"/>
    </row>
    <row r="81" customFormat="false" ht="15" hidden="false" customHeight="true" outlineLevel="0" collapsed="false">
      <c r="A81" s="21" t="str">
        <f aca="false">IF($C81="","",ROW()-1)</f>
        <v/>
      </c>
      <c r="B81" s="17"/>
      <c r="C81" s="23"/>
      <c r="D81" s="24" t="n">
        <v>1</v>
      </c>
      <c r="E81" s="23"/>
      <c r="F81" s="17"/>
    </row>
    <row r="82" customFormat="false" ht="15" hidden="false" customHeight="true" outlineLevel="0" collapsed="false">
      <c r="A82" s="21" t="str">
        <f aca="false">IF($C82="","",ROW()-1)</f>
        <v/>
      </c>
      <c r="B82" s="17"/>
      <c r="C82" s="23"/>
      <c r="D82" s="24" t="n">
        <v>1</v>
      </c>
      <c r="E82" s="23"/>
      <c r="F82" s="17"/>
    </row>
    <row r="83" customFormat="false" ht="15" hidden="false" customHeight="true" outlineLevel="0" collapsed="false">
      <c r="A83" s="21" t="str">
        <f aca="false">IF($C83="","",ROW()-1)</f>
        <v/>
      </c>
      <c r="B83" s="17"/>
      <c r="C83" s="23"/>
      <c r="D83" s="24" t="n">
        <v>1</v>
      </c>
      <c r="E83" s="23"/>
      <c r="F83" s="17"/>
    </row>
    <row r="84" customFormat="false" ht="15" hidden="false" customHeight="true" outlineLevel="0" collapsed="false">
      <c r="A84" s="21" t="str">
        <f aca="false">IF($C84="","",ROW()-1)</f>
        <v/>
      </c>
      <c r="B84" s="17"/>
      <c r="C84" s="23"/>
      <c r="D84" s="24" t="n">
        <v>1</v>
      </c>
      <c r="E84" s="23"/>
      <c r="F84" s="17"/>
    </row>
    <row r="85" customFormat="false" ht="15" hidden="false" customHeight="true" outlineLevel="0" collapsed="false">
      <c r="A85" s="21" t="str">
        <f aca="false">IF($C85="","",ROW()-1)</f>
        <v/>
      </c>
      <c r="B85" s="17"/>
      <c r="C85" s="23"/>
      <c r="D85" s="24" t="n">
        <v>1</v>
      </c>
      <c r="E85" s="23"/>
      <c r="F85" s="17"/>
    </row>
    <row r="86" customFormat="false" ht="15" hidden="false" customHeight="true" outlineLevel="0" collapsed="false">
      <c r="A86" s="21" t="str">
        <f aca="false">IF($C86="","",ROW()-1)</f>
        <v/>
      </c>
      <c r="B86" s="17"/>
      <c r="C86" s="23"/>
      <c r="D86" s="24" t="n">
        <v>1</v>
      </c>
      <c r="E86" s="23"/>
      <c r="F86" s="17"/>
    </row>
    <row r="87" customFormat="false" ht="15" hidden="false" customHeight="true" outlineLevel="0" collapsed="false">
      <c r="A87" s="21" t="str">
        <f aca="false">IF($C87="","",ROW()-1)</f>
        <v/>
      </c>
      <c r="B87" s="17"/>
      <c r="C87" s="23"/>
      <c r="D87" s="24" t="n">
        <v>1</v>
      </c>
      <c r="E87" s="23"/>
      <c r="F87" s="17"/>
    </row>
    <row r="88" customFormat="false" ht="15" hidden="false" customHeight="true" outlineLevel="0" collapsed="false">
      <c r="A88" s="21" t="str">
        <f aca="false">IF($C88="","",ROW()-1)</f>
        <v/>
      </c>
      <c r="B88" s="17"/>
      <c r="C88" s="23"/>
      <c r="D88" s="24" t="n">
        <v>1</v>
      </c>
      <c r="E88" s="23"/>
      <c r="F88" s="17"/>
    </row>
    <row r="89" customFormat="false" ht="15" hidden="false" customHeight="true" outlineLevel="0" collapsed="false">
      <c r="A89" s="21" t="str">
        <f aca="false">IF($C89="","",ROW()-1)</f>
        <v/>
      </c>
      <c r="B89" s="17"/>
      <c r="C89" s="23"/>
      <c r="D89" s="24" t="n">
        <v>1</v>
      </c>
      <c r="E89" s="23"/>
      <c r="F89" s="17"/>
    </row>
    <row r="90" customFormat="false" ht="15" hidden="false" customHeight="true" outlineLevel="0" collapsed="false">
      <c r="A90" s="21" t="str">
        <f aca="false">IF($C90="","",ROW()-1)</f>
        <v/>
      </c>
      <c r="B90" s="17"/>
      <c r="C90" s="23"/>
      <c r="D90" s="24" t="n">
        <v>1</v>
      </c>
      <c r="E90" s="23"/>
      <c r="F90" s="17"/>
    </row>
    <row r="91" customFormat="false" ht="15" hidden="false" customHeight="true" outlineLevel="0" collapsed="false">
      <c r="A91" s="21" t="str">
        <f aca="false">IF($C91="","",ROW()-1)</f>
        <v/>
      </c>
      <c r="B91" s="17"/>
      <c r="C91" s="23"/>
      <c r="D91" s="24" t="n">
        <v>1</v>
      </c>
      <c r="E91" s="23"/>
      <c r="F91" s="17"/>
    </row>
    <row r="92" customFormat="false" ht="15" hidden="false" customHeight="true" outlineLevel="0" collapsed="false">
      <c r="A92" s="21" t="str">
        <f aca="false">IF($C92="","",ROW()-1)</f>
        <v/>
      </c>
      <c r="B92" s="17"/>
      <c r="C92" s="23"/>
      <c r="D92" s="24" t="n">
        <v>1</v>
      </c>
      <c r="E92" s="23"/>
      <c r="F92" s="17"/>
    </row>
    <row r="93" customFormat="false" ht="15" hidden="false" customHeight="true" outlineLevel="0" collapsed="false">
      <c r="A93" s="21" t="str">
        <f aca="false">IF($C93="","",ROW()-1)</f>
        <v/>
      </c>
      <c r="B93" s="17"/>
      <c r="C93" s="23"/>
      <c r="D93" s="24" t="n">
        <v>1</v>
      </c>
      <c r="E93" s="23"/>
      <c r="F93" s="17"/>
    </row>
    <row r="94" customFormat="false" ht="15" hidden="false" customHeight="true" outlineLevel="0" collapsed="false">
      <c r="A94" s="21" t="str">
        <f aca="false">IF($C94="","",ROW()-1)</f>
        <v/>
      </c>
      <c r="B94" s="17"/>
      <c r="C94" s="23"/>
      <c r="D94" s="24" t="n">
        <v>1</v>
      </c>
      <c r="E94" s="23"/>
      <c r="F94" s="17"/>
    </row>
    <row r="95" customFormat="false" ht="15" hidden="false" customHeight="true" outlineLevel="0" collapsed="false">
      <c r="A95" s="21" t="str">
        <f aca="false">IF($C95="","",ROW()-1)</f>
        <v/>
      </c>
      <c r="B95" s="17"/>
      <c r="C95" s="23"/>
      <c r="D95" s="24" t="n">
        <v>1</v>
      </c>
      <c r="E95" s="23"/>
      <c r="F95" s="17"/>
    </row>
    <row r="96" customFormat="false" ht="15" hidden="false" customHeight="true" outlineLevel="0" collapsed="false">
      <c r="A96" s="21" t="str">
        <f aca="false">IF($C96="","",ROW()-1)</f>
        <v/>
      </c>
      <c r="B96" s="17"/>
      <c r="C96" s="23"/>
      <c r="D96" s="24" t="n">
        <v>1</v>
      </c>
      <c r="E96" s="23"/>
      <c r="F96" s="17"/>
    </row>
    <row r="97" customFormat="false" ht="15" hidden="false" customHeight="true" outlineLevel="0" collapsed="false">
      <c r="A97" s="21" t="str">
        <f aca="false">IF($C97="","",ROW()-1)</f>
        <v/>
      </c>
      <c r="B97" s="17"/>
      <c r="C97" s="23"/>
      <c r="D97" s="24" t="n">
        <v>1</v>
      </c>
      <c r="E97" s="23"/>
      <c r="F97" s="17"/>
    </row>
    <row r="98" customFormat="false" ht="15" hidden="false" customHeight="true" outlineLevel="0" collapsed="false">
      <c r="A98" s="21" t="str">
        <f aca="false">IF($C98="","",ROW()-1)</f>
        <v/>
      </c>
      <c r="B98" s="17"/>
      <c r="C98" s="23"/>
      <c r="D98" s="24" t="n">
        <v>1</v>
      </c>
      <c r="E98" s="23"/>
      <c r="F98" s="17"/>
    </row>
    <row r="99" customFormat="false" ht="15" hidden="false" customHeight="true" outlineLevel="0" collapsed="false">
      <c r="A99" s="21" t="str">
        <f aca="false">IF($C99="","",ROW()-1)</f>
        <v/>
      </c>
      <c r="B99" s="17"/>
      <c r="C99" s="23"/>
      <c r="D99" s="24" t="n">
        <v>1</v>
      </c>
      <c r="E99" s="23"/>
      <c r="F99" s="17"/>
    </row>
    <row r="100" customFormat="false" ht="15" hidden="false" customHeight="true" outlineLevel="0" collapsed="false">
      <c r="A100" s="21" t="str">
        <f aca="false">IF($C100="","",ROW()-1)</f>
        <v/>
      </c>
      <c r="B100" s="17"/>
      <c r="C100" s="23"/>
      <c r="D100" s="24" t="n">
        <v>1</v>
      </c>
      <c r="E100" s="23"/>
      <c r="F100" s="17"/>
    </row>
    <row r="101" customFormat="false" ht="15" hidden="false" customHeight="true" outlineLevel="0" collapsed="false">
      <c r="A101" s="21" t="str">
        <f aca="false">IF($C101="","",ROW()-1)</f>
        <v/>
      </c>
      <c r="B101" s="17"/>
      <c r="C101" s="23"/>
      <c r="D101" s="24" t="n">
        <v>1</v>
      </c>
      <c r="E101" s="23"/>
      <c r="F101" s="17"/>
    </row>
  </sheetData>
  <dataValidations count="2">
    <dataValidation allowBlank="true" errorStyle="stop" operator="between" showDropDown="false" showErrorMessage="false" showInputMessage="false" sqref="C2:C101" type="list">
      <formula1>Precios!$A$2:$A$21</formula1>
      <formula2>0</formula2>
    </dataValidation>
    <dataValidation allowBlank="true" errorStyle="stop" operator="between" showDropDown="false" showErrorMessage="false" showInputMessage="false" sqref="E2:E101" type="list">
      <formula1>"Rotura,Perdida,Vencido/Dañado,Degustacion,Otro"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65"/>
  </cols>
  <sheetData>
    <row r="1" customFormat="false" ht="21.75" hidden="false" customHeight="true" outlineLevel="0" collapsed="false">
      <c r="A1" s="29" t="s">
        <v>64</v>
      </c>
      <c r="B1" s="29" t="s">
        <v>104</v>
      </c>
      <c r="C1" s="29" t="s">
        <v>105</v>
      </c>
      <c r="D1" s="29" t="s">
        <v>106</v>
      </c>
      <c r="E1" s="29" t="s">
        <v>107</v>
      </c>
      <c r="F1" s="15"/>
    </row>
    <row r="2" customFormat="false" ht="15" hidden="false" customHeight="true" outlineLevel="0" collapsed="false">
      <c r="A2" s="17" t="s">
        <v>72</v>
      </c>
      <c r="B2" s="22" t="s">
        <v>108</v>
      </c>
      <c r="C2" s="9" t="n">
        <v>6000</v>
      </c>
      <c r="D2" s="9" t="n">
        <v>6700</v>
      </c>
      <c r="E2" s="17"/>
      <c r="F2" s="15"/>
    </row>
    <row r="3" customFormat="false" ht="15" hidden="false" customHeight="true" outlineLevel="0" collapsed="false">
      <c r="A3" s="17" t="s">
        <v>80</v>
      </c>
      <c r="B3" s="22" t="s">
        <v>108</v>
      </c>
      <c r="C3" s="9" t="n">
        <v>6000</v>
      </c>
      <c r="D3" s="9" t="n">
        <v>6700</v>
      </c>
      <c r="E3" s="17"/>
      <c r="F3" s="15"/>
    </row>
    <row r="4" customFormat="false" ht="15" hidden="false" customHeight="true" outlineLevel="0" collapsed="false">
      <c r="A4" s="17" t="s">
        <v>81</v>
      </c>
      <c r="B4" s="22" t="s">
        <v>108</v>
      </c>
      <c r="C4" s="9" t="n">
        <v>6000</v>
      </c>
      <c r="D4" s="9" t="n">
        <v>6700</v>
      </c>
      <c r="E4" s="17"/>
      <c r="F4" s="15"/>
    </row>
    <row r="5" customFormat="false" ht="15" hidden="false" customHeight="true" outlineLevel="0" collapsed="false">
      <c r="A5" s="17" t="s">
        <v>82</v>
      </c>
      <c r="B5" s="22" t="s">
        <v>108</v>
      </c>
      <c r="C5" s="9" t="n">
        <v>6000</v>
      </c>
      <c r="D5" s="9" t="n">
        <v>6700</v>
      </c>
      <c r="E5" s="17"/>
      <c r="F5" s="15"/>
    </row>
    <row r="6" customFormat="false" ht="15" hidden="false" customHeight="true" outlineLevel="0" collapsed="false">
      <c r="A6" s="17" t="s">
        <v>83</v>
      </c>
      <c r="B6" s="22" t="s">
        <v>108</v>
      </c>
      <c r="C6" s="9" t="n">
        <v>6000</v>
      </c>
      <c r="D6" s="9" t="n">
        <v>6700</v>
      </c>
      <c r="E6" s="17"/>
      <c r="F6" s="15"/>
    </row>
    <row r="7" customFormat="false" ht="15" hidden="false" customHeight="true" outlineLevel="0" collapsed="false">
      <c r="A7" s="17" t="s">
        <v>84</v>
      </c>
      <c r="B7" s="22" t="s">
        <v>108</v>
      </c>
      <c r="C7" s="9" t="n">
        <v>6000</v>
      </c>
      <c r="D7" s="9" t="n">
        <v>6700</v>
      </c>
      <c r="E7" s="17"/>
      <c r="F7" s="15"/>
    </row>
    <row r="8" customFormat="false" ht="15" hidden="false" customHeight="true" outlineLevel="0" collapsed="false">
      <c r="A8" s="17" t="s">
        <v>85</v>
      </c>
      <c r="B8" s="22" t="s">
        <v>108</v>
      </c>
      <c r="C8" s="9" t="n">
        <v>6000</v>
      </c>
      <c r="D8" s="9" t="n">
        <v>6700</v>
      </c>
      <c r="E8" s="17"/>
      <c r="F8" s="15"/>
    </row>
    <row r="9" customFormat="false" ht="15" hidden="false" customHeight="true" outlineLevel="0" collapsed="false">
      <c r="A9" s="17" t="s">
        <v>86</v>
      </c>
      <c r="B9" s="22" t="s">
        <v>108</v>
      </c>
      <c r="C9" s="9" t="n">
        <v>6000</v>
      </c>
      <c r="D9" s="9" t="n">
        <v>6700</v>
      </c>
      <c r="E9" s="17"/>
      <c r="F9" s="15"/>
    </row>
    <row r="10" customFormat="false" ht="15" hidden="false" customHeight="true" outlineLevel="0" collapsed="false">
      <c r="A10" s="17" t="s">
        <v>87</v>
      </c>
      <c r="B10" s="22" t="s">
        <v>108</v>
      </c>
      <c r="C10" s="9" t="n">
        <v>5000</v>
      </c>
      <c r="D10" s="9" t="n">
        <v>5700</v>
      </c>
      <c r="E10" s="17"/>
      <c r="F10" s="15"/>
    </row>
    <row r="11" customFormat="false" ht="45" hidden="false" customHeight="true" outlineLevel="0" collapsed="false">
      <c r="A11" s="17" t="s">
        <v>88</v>
      </c>
      <c r="B11" s="22" t="s">
        <v>108</v>
      </c>
      <c r="C11" s="9" t="n">
        <v>5000</v>
      </c>
      <c r="D11" s="30" t="n">
        <v>5700</v>
      </c>
      <c r="E11" s="17"/>
      <c r="F11" s="15"/>
    </row>
    <row r="12" customFormat="false" ht="45" hidden="false" customHeight="true" outlineLevel="0" collapsed="false">
      <c r="A12" s="17" t="s">
        <v>89</v>
      </c>
      <c r="B12" s="22" t="s">
        <v>108</v>
      </c>
      <c r="C12" s="9" t="n">
        <v>5000</v>
      </c>
      <c r="D12" s="30" t="n">
        <v>5000</v>
      </c>
      <c r="E12" s="17"/>
      <c r="F12" s="15"/>
    </row>
    <row r="13" customFormat="false" ht="45" hidden="false" customHeight="true" outlineLevel="0" collapsed="false">
      <c r="A13" s="17" t="s">
        <v>90</v>
      </c>
      <c r="B13" s="22" t="s">
        <v>108</v>
      </c>
      <c r="C13" s="9" t="n">
        <v>5000</v>
      </c>
      <c r="D13" s="30" t="n">
        <v>5000</v>
      </c>
      <c r="E13" s="17"/>
      <c r="F13" s="15"/>
    </row>
    <row r="14" customFormat="false" ht="15" hidden="false" customHeight="true" outlineLevel="0" collapsed="false">
      <c r="A14" s="17" t="s">
        <v>91</v>
      </c>
      <c r="B14" s="22" t="s">
        <v>108</v>
      </c>
      <c r="C14" s="9" t="n">
        <v>4500</v>
      </c>
      <c r="D14" s="9" t="n">
        <v>4500</v>
      </c>
      <c r="E14" s="17"/>
      <c r="F14" s="15"/>
    </row>
    <row r="15" customFormat="false" ht="15" hidden="false" customHeight="true" outlineLevel="0" collapsed="false">
      <c r="A15" s="17" t="s">
        <v>92</v>
      </c>
      <c r="B15" s="22" t="s">
        <v>108</v>
      </c>
      <c r="C15" s="9" t="n">
        <v>8000</v>
      </c>
      <c r="D15" s="9" t="n">
        <v>9200</v>
      </c>
      <c r="E15" s="17"/>
      <c r="F15" s="15"/>
    </row>
    <row r="16" customFormat="false" ht="15" hidden="false" customHeight="true" outlineLevel="0" collapsed="false">
      <c r="A16" s="17" t="s">
        <v>93</v>
      </c>
      <c r="B16" s="22" t="s">
        <v>108</v>
      </c>
      <c r="C16" s="9" t="n">
        <v>6000</v>
      </c>
      <c r="D16" s="9" t="n">
        <v>7100</v>
      </c>
      <c r="E16" s="17"/>
      <c r="F16" s="15"/>
    </row>
    <row r="17" customFormat="false" ht="15" hidden="false" customHeight="true" outlineLevel="0" collapsed="false">
      <c r="A17" s="17" t="s">
        <v>94</v>
      </c>
      <c r="B17" s="22" t="s">
        <v>108</v>
      </c>
      <c r="C17" s="9" t="n">
        <v>6000</v>
      </c>
      <c r="D17" s="9" t="n">
        <v>7100</v>
      </c>
      <c r="E17" s="17"/>
      <c r="F17" s="15"/>
    </row>
    <row r="18" customFormat="false" ht="15" hidden="false" customHeight="true" outlineLevel="0" collapsed="false">
      <c r="A18" s="17" t="s">
        <v>95</v>
      </c>
      <c r="B18" s="22" t="s">
        <v>108</v>
      </c>
      <c r="C18" s="9" t="n">
        <v>6000</v>
      </c>
      <c r="D18" s="9" t="n">
        <v>7100</v>
      </c>
      <c r="E18" s="17"/>
      <c r="F18" s="15"/>
    </row>
    <row r="19" customFormat="false" ht="15" hidden="false" customHeight="true" outlineLevel="0" collapsed="false">
      <c r="A19" s="17" t="s">
        <v>96</v>
      </c>
      <c r="B19" s="22" t="s">
        <v>108</v>
      </c>
      <c r="C19" s="9" t="n">
        <v>11500</v>
      </c>
      <c r="D19" s="9" t="n">
        <v>11500</v>
      </c>
      <c r="E19" s="17"/>
      <c r="F19" s="15"/>
    </row>
    <row r="20" customFormat="false" ht="30" hidden="false" customHeight="true" outlineLevel="0" collapsed="false">
      <c r="A20" s="17" t="s">
        <v>97</v>
      </c>
      <c r="B20" s="22" t="s">
        <v>108</v>
      </c>
      <c r="C20" s="9" t="n">
        <v>4000</v>
      </c>
      <c r="D20" s="30" t="n">
        <v>4500</v>
      </c>
      <c r="E20" s="17"/>
      <c r="F20" s="15"/>
    </row>
    <row r="21" customFormat="false" ht="30" hidden="false" customHeight="true" outlineLevel="0" collapsed="false">
      <c r="A21" s="17" t="s">
        <v>98</v>
      </c>
      <c r="B21" s="22" t="s">
        <v>108</v>
      </c>
      <c r="C21" s="9" t="n">
        <v>3000</v>
      </c>
      <c r="D21" s="30" t="n">
        <v>3600</v>
      </c>
      <c r="E21" s="17"/>
      <c r="F21" s="15"/>
    </row>
    <row r="22" customFormat="false" ht="30" hidden="false" customHeight="true" outlineLevel="0" collapsed="false">
      <c r="A22" s="17" t="s">
        <v>56</v>
      </c>
      <c r="B22" s="22" t="s">
        <v>109</v>
      </c>
      <c r="C22" s="9" t="n">
        <v>16000</v>
      </c>
      <c r="D22" s="30" t="n">
        <v>18100</v>
      </c>
      <c r="E22" s="31" t="s">
        <v>110</v>
      </c>
      <c r="F22" s="15"/>
    </row>
    <row r="23" customFormat="false" ht="30" hidden="false" customHeight="true" outlineLevel="0" collapsed="false">
      <c r="A23" s="17" t="s">
        <v>57</v>
      </c>
      <c r="B23" s="22" t="s">
        <v>109</v>
      </c>
      <c r="C23" s="9" t="n">
        <v>7000</v>
      </c>
      <c r="D23" s="30" t="n">
        <v>8000</v>
      </c>
      <c r="E23" s="31" t="s">
        <v>111</v>
      </c>
      <c r="F23" s="15"/>
    </row>
    <row r="24" customFormat="false" ht="30" hidden="false" customHeight="true" outlineLevel="0" collapsed="false">
      <c r="A24" s="17" t="s">
        <v>58</v>
      </c>
      <c r="B24" s="22" t="s">
        <v>109</v>
      </c>
      <c r="C24" s="9" t="n">
        <v>5000</v>
      </c>
      <c r="D24" s="30" t="n">
        <v>6000</v>
      </c>
      <c r="E24" s="31" t="s">
        <v>112</v>
      </c>
      <c r="F24" s="15"/>
    </row>
    <row r="25" customFormat="false" ht="30" hidden="false" customHeight="true" outlineLevel="0" collapsed="false">
      <c r="A25" s="17" t="s">
        <v>59</v>
      </c>
      <c r="B25" s="22" t="s">
        <v>109</v>
      </c>
      <c r="C25" s="9" t="n">
        <v>18000</v>
      </c>
      <c r="D25" s="9" t="n">
        <v>18000</v>
      </c>
      <c r="E25" s="31" t="s">
        <v>113</v>
      </c>
      <c r="F25" s="15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9" t="s">
        <v>114</v>
      </c>
      <c r="B27" s="19"/>
      <c r="C27" s="19"/>
      <c r="D27" s="19"/>
      <c r="E27" s="19"/>
      <c r="F27" s="15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true" outlineLevel="0" collapsed="false">
      <c r="A31" s="15"/>
      <c r="B31" s="15"/>
      <c r="C31" s="15"/>
      <c r="D31" s="15"/>
      <c r="E31" s="15"/>
      <c r="F31" s="15"/>
    </row>
  </sheetData>
  <mergeCells count="1"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2026-07-13T19:19:59Z</dcterms:created>
  <dc:creator>openpyxl</dc:creator>
  <dc:description/>
  <dc:language>en-US</dc:language>
  <cp:lastModifiedBy/>
  <dcterms:modified xsi:type="dcterms:W3CDTF">2026-09-26T11:19:19Z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